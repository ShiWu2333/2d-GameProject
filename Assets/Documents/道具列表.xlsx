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5a6fae65b648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fa13d270c12945d4"/>
    <x:sheet xmlns:r="http://schemas.openxmlformats.org/officeDocument/2006/relationships" name="物品总表" sheetId="2" r:id="R0a4a9ab4708c47ac"/>
    <x:sheet xmlns:r="http://schemas.openxmlformats.org/officeDocument/2006/relationships" name="消耗品数值" sheetId="3" r:id="Rea95946c2adf4fe0"/>
    <x:sheet xmlns:r="http://schemas.openxmlformats.org/officeDocument/2006/relationships" name="弹药数值" sheetId="4" r:id="Rd8c48fd12f504a1d"/>
    <x:sheet xmlns:r="http://schemas.openxmlformats.org/officeDocument/2006/relationships" name="武器数值" sheetId="5" r:id="R26653d0d136b4a21"/>
    <x:sheet xmlns:r="http://schemas.openxmlformats.org/officeDocument/2006/relationships" name="护甲数值" sheetId="6" r:id="R73aa32ea40ed410e"/>
    <x:sheet xmlns:r="http://schemas.openxmlformats.org/officeDocument/2006/relationships" name="穿透矩阵" sheetId="7" r:id="R70db25f54e224602"/>
    <x:sheet xmlns:r="http://schemas.openxmlformats.org/officeDocument/2006/relationships" name="美术提示词" sheetId="8" r:id="R45999f9911c54b8a"/>
    <x:sheet xmlns:r="http://schemas.openxmlformats.org/officeDocument/2006/relationships" name="实现核对" sheetId="9" r:id="Rfb89c21ae4f640e2"/>
    <x:sheet xmlns:r="http://schemas.openxmlformats.org/officeDocument/2006/relationships" name="扩展建议" sheetId="10" r:id="R38f86705a8aa47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0.00"/>
    <x:numFmt numFmtId="202" formatCode="#,##0"/>
    <x:numFmt numFmtId="203" formatCode="0.0"/>
    <x:numFmt numFmtId="204" formatCode="0"/>
  </x:numFmts>
  <x:fonts count="9">
    <x:font>
      <x:sz val="11"/>
      <x:name val="Carlito"/>
    </x:font>
    <x:font>
      <x:b/>
      <x:sz val="18"/>
      <x:color rgb="FFFFFFFF"/>
      <x:name val="Carlito"/>
    </x:font>
    <x:font>
      <x:sz val="10"/>
      <x:color rgb="FFDCEAF2"/>
      <x:name val="Carlito"/>
    </x:font>
    <x:font>
      <x:b/>
      <x:sz val="10"/>
      <x:color rgb="FFFFFFFF"/>
      <x:name val="Carlito"/>
    </x:font>
    <x:font>
      <x:sz val="11"/>
      <x:color rgb="FF1F2A33"/>
      <x:name val="Carlito"/>
    </x:font>
    <x:font>
      <x:b/>
      <x:sz val="11"/>
      <x:color rgb="FF18324A"/>
      <x:name val="Carlito"/>
    </x:font>
    <x:font>
      <x:b/>
      <x:sz val="11"/>
      <x:color rgb="FFC74B50"/>
      <x:name val="Carlito"/>
    </x:font>
    <x:font>
      <x:i/>
      <x:sz val="11"/>
      <x:color rgb="FF18324A"/>
      <x:name val="Carlito"/>
    </x:font>
    <x:font>
      <x:sz val="10"/>
      <x:color rgb="FF1F2A33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244A66"/>
      </x:patternFill>
    </x:fill>
    <x:fill>
      <x:patternFill patternType="solid">
        <x:fgColor rgb="FFE8F4F7"/>
      </x:patternFill>
    </x:fill>
    <x:fill>
      <x:patternFill patternType="solid">
        <x:fgColor rgb="FFEAF4E4"/>
      </x:patternFill>
    </x:fill>
    <x:fill>
      <x:patternFill patternType="solid">
        <x:fgColor rgb="FFFFF0DC"/>
      </x:patternFill>
    </x:fill>
    <x:fill>
      <x:patternFill patternType="solid">
        <x:fgColor rgb="FFFFF7EA"/>
      </x:patternFill>
    </x:fill>
    <x:fill>
      <x:patternFill patternType="solid">
        <x:fgColor rgb="FFFFFDF8"/>
      </x:patternFill>
    </x:fill>
    <x:fill>
      <x:patternFill patternType="solid">
        <x:fgColor rgb="FFFAFBFC"/>
      </x:patternFill>
    </x:fill>
    <x:fill>
      <x:patternFill patternType="solid">
        <x:fgColor rgb="FFF8FBFC"/>
      </x:patternFill>
    </x:fill>
  </x:fills>
  <x:borders count="16">
    <x:border/>
    <x:border>
      <x:left style="medium">
        <x:color rgb="FF18324A"/>
      </x:left>
      <x:top style="medium">
        <x:color rgb="FF18324A"/>
      </x:top>
      <x:bottom style="medium">
        <x:color rgb="FF18324A"/>
      </x:bottom>
    </x:border>
    <x:border>
      <x:right style="medium">
        <x:color rgb="FF18324A"/>
      </x:right>
      <x:top style="medium">
        <x:color rgb="FF18324A"/>
      </x:top>
      <x:bottom style="medium">
        <x:color rgb="FF18324A"/>
      </x:bottom>
    </x:border>
    <x:border>
      <x:bottom style="thin">
        <x:color rgb="FFC9D7DE"/>
      </x:bottom>
    </x:border>
    <x:border>
      <x:top style="thin">
        <x:color rgb="FFC9D7DE"/>
      </x:top>
      <x:bottom style="thin">
        <x:color rgb="FFC9D7DE"/>
      </x:bottom>
    </x:border>
    <x:border>
      <x:top style="thin">
        <x:color rgb="FFC9D7DE"/>
      </x:top>
    </x:border>
    <x:border>
      <x:top style="medium">
        <x:color rgb="FF18324A"/>
      </x:top>
      <x:bottom style="medium">
        <x:color rgb="FF18324A"/>
      </x:bottom>
    </x:border>
    <x:border>
      <x:bottom style="thin">
        <x:color rgb="FFD6DEE3"/>
      </x:bottom>
    </x:border>
    <x:border>
      <x:top style="thin">
        <x:color rgb="FFD6DEE3"/>
      </x:top>
      <x:bottom style="thin">
        <x:color rgb="FFD6DEE3"/>
      </x:bottom>
    </x:border>
    <x:border>
      <x:top style="thin">
        <x:color rgb="FFD6DEE3"/>
      </x:top>
    </x:border>
    <x:border>
      <x:bottom style="thin">
        <x:color rgb="FFE8D8C0"/>
      </x:bottom>
    </x:border>
    <x:border>
      <x:top style="thin">
        <x:color rgb="FFE8D8C0"/>
      </x:top>
      <x:bottom style="thin">
        <x:color rgb="FFE8D8C0"/>
      </x:bottom>
    </x:border>
    <x:border>
      <x:top style="thin">
        <x:color rgb="FFE8D8C0"/>
      </x:top>
    </x:border>
    <x:border>
      <x:bottom style="thin">
        <x:color rgb="FFD9E0E5"/>
      </x:bottom>
    </x:border>
    <x:border>
      <x:top style="thin">
        <x:color rgb="FFD9E0E5"/>
      </x:top>
      <x:bottom style="thin">
        <x:color rgb="FFD9E0E5"/>
      </x:bottom>
    </x:border>
    <x:border>
      <x:left style="thin">
        <x:color rgb="FFC9D7DE"/>
      </x:left>
      <x:right style="thin">
        <x:color rgb="FFC9D7DE"/>
      </x:right>
      <x:top style="thin">
        <x:color rgb="FFC9D7DE"/>
      </x:top>
      <x:bottom style="thin">
        <x:color rgb="FFC9D7DE"/>
      </x:bottom>
    </x:border>
  </x:borders>
  <x:cellStyleXfs count="1">
    <x:xf numFmtId="0" fontId="0" fillId="0" borderId="0"/>
  </x:cellStyleXfs>
  <x:cellXfs count="1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20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5" fillId="4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6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0" fontId="0" fillId="5" borderId="9" xfId="0" applyNumberFormat="1" applyFont="1" applyFill="1" applyBorder="1"/>
    <x:xf numFmtId="200" fontId="0" fillId="5" borderId="9" xfId="0" applyNumberFormat="1" applyFont="1" applyFill="1" applyBorder="1"/>
    <x:xf numFmtId="0" fontId="5" fillId="5" borderId="9" xfId="0" applyNumberFormat="1" applyFont="1" applyFill="1" applyBorder="1"/>
    <x:xf numFmtId="200" fontId="5" fillId="5" borderId="9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0" fontId="6" fillId="6" borderId="10" xfId="0" applyNumberFormat="1" applyFont="1" applyFill="1" applyBorder="1" applyAlignment="1">
      <x:alignment horizontal="center"/>
    </x:xf>
    <x:xf numFmtId="0" fontId="5" fillId="7" borderId="10" xfId="0" applyNumberFormat="1" applyFont="1" applyFill="1" applyBorder="1"/>
    <x:xf numFmtId="0" fontId="4" fillId="8" borderId="10" xfId="0" applyNumberFormat="1" applyFont="1" applyFill="1" applyBorder="1" applyAlignment="1">
      <x:alignment vertical="center" wrapText="1"/>
    </x:xf>
    <x:xf numFmtId="0" fontId="6" fillId="6" borderId="11" xfId="0" applyNumberFormat="1" applyFont="1" applyFill="1" applyBorder="1" applyAlignment="1">
      <x:alignment horizontal="center"/>
    </x:xf>
    <x:xf numFmtId="0" fontId="5" fillId="7" borderId="11" xfId="0" applyNumberFormat="1" applyFont="1" applyFill="1" applyBorder="1"/>
    <x:xf numFmtId="0" fontId="4" fillId="8" borderId="11" xfId="0" applyNumberFormat="1" applyFont="1" applyFill="1" applyBorder="1" applyAlignment="1">
      <x:alignment vertical="center" wrapText="1"/>
    </x:xf>
    <x:xf numFmtId="0" fontId="6" fillId="6" borderId="12" xfId="0" applyNumberFormat="1" applyFont="1" applyFill="1" applyBorder="1" applyAlignment="1">
      <x:alignment horizontal="center"/>
    </x:xf>
    <x:xf numFmtId="0" fontId="5" fillId="7" borderId="12" xfId="0" applyNumberFormat="1" applyFont="1" applyFill="1" applyBorder="1"/>
    <x:xf numFmtId="0" fontId="4" fillId="8" borderId="12" xfId="0" applyNumberFormat="1" applyFont="1" applyFill="1" applyBorder="1" applyAlignment="1">
      <x:alignment vertical="center"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vertical="center" wrapText="1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8" fillId="0" borderId="13" xfId="0" applyNumberFormat="1" applyFont="1" applyFill="1" applyBorder="1" applyAlignment="1">
      <x:alignment wrapText="1"/>
    </x:xf>
    <x:xf numFmtId="0" fontId="8" fillId="0" borderId="14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vertical="center" wrapText="1"/>
    </x:xf>
    <x:xf numFmtId="0" fontId="8" fillId="0" borderId="14" xfId="0" applyNumberFormat="1" applyFont="1" applyFill="1" applyBorder="1" applyAlignment="1">
      <x:alignment vertical="center" wrapText="1"/>
    </x:xf>
    <x:xf numFmtId="0" fontId="8" fillId="9" borderId="13" xfId="0" applyNumberFormat="1" applyFont="1" applyFill="1" applyBorder="1" applyAlignment="1">
      <x:alignment vertical="center" wrapText="1"/>
    </x:xf>
    <x:xf numFmtId="0" fontId="8" fillId="9" borderId="14" xfId="0" applyNumberFormat="1" applyFont="1" applyFill="1" applyBorder="1" applyAlignment="1">
      <x:alignment vertical="center" wrapText="1"/>
    </x:xf>
    <x:xf numFmtId="0" fontId="8" fillId="4" borderId="13" xfId="0" applyNumberFormat="1" applyFont="1" applyFill="1" applyBorder="1" applyAlignment="1">
      <x:alignment vertical="center" wrapText="1"/>
    </x:xf>
    <x:xf numFmtId="0" fontId="8" fillId="4" borderId="14" xfId="0" applyNumberFormat="1" applyFont="1" applyFill="1" applyBorder="1" applyAlignment="1">
      <x:alignment vertical="center" wrapText="1"/>
    </x:xf>
    <x:xf numFmtId="0" fontId="8" fillId="5" borderId="13" xfId="0" applyNumberFormat="1" applyFont="1" applyFill="1" applyBorder="1" applyAlignment="1">
      <x:alignment vertical="center" wrapText="1"/>
    </x:xf>
    <x:xf numFmtId="0" fontId="8" fillId="5" borderId="14" xfId="0" applyNumberFormat="1" applyFont="1" applyFill="1" applyBorder="1" applyAlignment="1">
      <x:alignment vertical="center" wrapText="1"/>
    </x:xf>
    <x:xf numFmtId="0" fontId="8" fillId="9" borderId="13" xfId="0" applyNumberFormat="1" applyFont="1" applyFill="1" applyBorder="1" applyAlignment="1">
      <x:alignment horizontal="center" vertical="center" wrapText="1"/>
    </x:xf>
    <x:xf numFmtId="0" fontId="8" fillId="9" borderId="14" xfId="0" applyNumberFormat="1" applyFont="1" applyFill="1" applyBorder="1" applyAlignment="1">
      <x:alignment horizontal="center" vertical="center" wrapText="1"/>
    </x:xf>
    <x:xf numFmtId="0" fontId="8" fillId="0" borderId="13" xfId="0" applyNumberFormat="1" applyFont="1" applyFill="1" applyBorder="1" applyAlignment="1">
      <x:alignment horizontal="right" vertical="center" wrapText="1"/>
    </x:xf>
    <x:xf numFmtId="0" fontId="8" fillId="4" borderId="13" xfId="0" applyNumberFormat="1" applyFont="1" applyFill="1" applyBorder="1" applyAlignment="1">
      <x:alignment horizontal="right" vertical="center" wrapText="1"/>
    </x:xf>
    <x:xf numFmtId="0" fontId="8" fillId="5" borderId="13" xfId="0" applyNumberFormat="1" applyFont="1" applyFill="1" applyBorder="1" applyAlignment="1">
      <x:alignment horizontal="right" vertical="center" wrapText="1"/>
    </x:xf>
    <x:xf numFmtId="0" fontId="8" fillId="0" borderId="14" xfId="0" applyNumberFormat="1" applyFont="1" applyFill="1" applyBorder="1" applyAlignment="1">
      <x:alignment horizontal="right" vertical="center" wrapText="1"/>
    </x:xf>
    <x:xf numFmtId="0" fontId="8" fillId="4" borderId="14" xfId="0" applyNumberFormat="1" applyFont="1" applyFill="1" applyBorder="1" applyAlignment="1">
      <x:alignment horizontal="right" vertical="center" wrapText="1"/>
    </x:xf>
    <x:xf numFmtId="0" fontId="8" fillId="5" borderId="14" xfId="0" applyNumberFormat="1" applyFont="1" applyFill="1" applyBorder="1" applyAlignment="1">
      <x:alignment horizontal="right" vertical="center" wrapText="1"/>
    </x:xf>
    <x:xf numFmtId="201" fontId="8" fillId="0" borderId="13" xfId="0" applyNumberFormat="1" applyFont="1" applyFill="1" applyBorder="1" applyAlignment="1">
      <x:alignment horizontal="right" vertical="center" wrapText="1"/>
    </x:xf>
    <x:xf numFmtId="201" fontId="8" fillId="0" borderId="14" xfId="0" applyNumberFormat="1" applyFont="1" applyFill="1" applyBorder="1" applyAlignment="1">
      <x:alignment horizontal="right" vertical="center" wrapText="1"/>
    </x:xf>
    <x:xf numFmtId="202" fontId="8" fillId="4" borderId="13" xfId="0" applyNumberFormat="1" applyFont="1" applyFill="1" applyBorder="1" applyAlignment="1">
      <x:alignment horizontal="right" vertical="center" wrapText="1"/>
    </x:xf>
    <x:xf numFmtId="202" fontId="8" fillId="5" borderId="13" xfId="0" applyNumberFormat="1" applyFont="1" applyFill="1" applyBorder="1" applyAlignment="1">
      <x:alignment horizontal="right" vertical="center" wrapText="1"/>
    </x:xf>
    <x:xf numFmtId="202" fontId="8" fillId="0" borderId="13" xfId="0" applyNumberFormat="1" applyFont="1" applyFill="1" applyBorder="1" applyAlignment="1">
      <x:alignment horizontal="right" vertical="center" wrapText="1"/>
    </x:xf>
    <x:xf numFmtId="202" fontId="8" fillId="4" borderId="14" xfId="0" applyNumberFormat="1" applyFont="1" applyFill="1" applyBorder="1" applyAlignment="1">
      <x:alignment horizontal="right" vertical="center" wrapText="1"/>
    </x:xf>
    <x:xf numFmtId="202" fontId="8" fillId="5" borderId="14" xfId="0" applyNumberFormat="1" applyFont="1" applyFill="1" applyBorder="1" applyAlignment="1">
      <x:alignment horizontal="right" vertical="center" wrapText="1"/>
    </x:xf>
    <x:xf numFmtId="202" fontId="8" fillId="0" borderId="14" xfId="0" applyNumberFormat="1" applyFont="1" applyFill="1" applyBorder="1" applyAlignment="1">
      <x:alignment horizontal="right" vertical="center" wrapText="1"/>
    </x:xf>
    <x:xf numFmtId="0" fontId="8" fillId="6" borderId="13" xfId="0" applyNumberFormat="1" applyFont="1" applyFill="1" applyBorder="1" applyAlignment="1">
      <x:alignment vertical="center" wrapText="1"/>
    </x:xf>
    <x:xf numFmtId="0" fontId="8" fillId="6" borderId="14" xfId="0" applyNumberFormat="1" applyFont="1" applyFill="1" applyBorder="1" applyAlignment="1">
      <x:alignment vertical="center" wrapText="1"/>
    </x:xf>
    <x:xf numFmtId="200" fontId="8" fillId="4" borderId="14" xfId="0" applyNumberFormat="1" applyFont="1" applyFill="1" applyBorder="1" applyAlignment="1">
      <x:alignment vertical="center" wrapText="1"/>
    </x:xf>
    <x:xf numFmtId="200" fontId="8" fillId="5" borderId="14" xfId="0" applyNumberFormat="1" applyFont="1" applyFill="1" applyBorder="1" applyAlignment="1">
      <x:alignment vertical="center" wrapText="1"/>
    </x:xf>
    <x:xf numFmtId="203" fontId="8" fillId="4" borderId="13" xfId="0" applyNumberFormat="1" applyFont="1" applyFill="1" applyBorder="1" applyAlignment="1">
      <x:alignment vertical="center" wrapText="1"/>
    </x:xf>
    <x:xf numFmtId="203" fontId="8" fillId="4" borderId="14" xfId="0" applyNumberFormat="1" applyFont="1" applyFill="1" applyBorder="1" applyAlignment="1">
      <x:alignment vertical="center" wrapText="1"/>
    </x:xf>
    <x:xf numFmtId="201" fontId="8" fillId="4" borderId="13" xfId="0" applyNumberFormat="1" applyFont="1" applyFill="1" applyBorder="1" applyAlignment="1">
      <x:alignment vertical="center" wrapText="1"/>
    </x:xf>
    <x:xf numFmtId="201" fontId="8" fillId="4" borderId="14" xfId="0" applyNumberFormat="1" applyFont="1" applyFill="1" applyBorder="1" applyAlignment="1">
      <x:alignment vertical="center" wrapText="1"/>
    </x:xf>
    <x:xf numFmtId="202" fontId="8" fillId="4" borderId="13" xfId="0" applyNumberFormat="1" applyFont="1" applyFill="1" applyBorder="1" applyAlignment="1">
      <x:alignment vertical="center" wrapText="1"/>
    </x:xf>
    <x:xf numFmtId="202" fontId="8" fillId="5" borderId="13" xfId="0" applyNumberFormat="1" applyFont="1" applyFill="1" applyBorder="1" applyAlignment="1">
      <x:alignment vertical="center" wrapText="1"/>
    </x:xf>
    <x:xf numFmtId="202" fontId="8" fillId="4" borderId="14" xfId="0" applyNumberFormat="1" applyFont="1" applyFill="1" applyBorder="1" applyAlignment="1">
      <x:alignment vertical="center" wrapText="1"/>
    </x:xf>
    <x:xf numFmtId="202" fontId="8" fillId="5" borderId="14" xfId="0" applyNumberFormat="1" applyFont="1" applyFill="1" applyBorder="1" applyAlignment="1">
      <x:alignment vertical="center" wrapText="1"/>
    </x:xf>
    <x:xf numFmtId="203" fontId="8" fillId="5" borderId="13" xfId="0" applyNumberFormat="1" applyFont="1" applyFill="1" applyBorder="1" applyAlignment="1">
      <x:alignment vertical="center" wrapText="1"/>
    </x:xf>
    <x:xf numFmtId="203" fontId="8" fillId="5" borderId="14" xfId="0" applyNumberFormat="1" applyFont="1" applyFill="1" applyBorder="1" applyAlignment="1">
      <x:alignment vertical="center" wrapText="1"/>
    </x:xf>
    <x:xf numFmtId="201" fontId="8" fillId="5" borderId="13" xfId="0" applyNumberFormat="1" applyFont="1" applyFill="1" applyBorder="1" applyAlignment="1">
      <x:alignment vertical="center" wrapText="1"/>
    </x:xf>
    <x:xf numFmtId="201" fontId="8" fillId="5" borderId="14" xfId="0" applyNumberFormat="1" applyFont="1" applyFill="1" applyBorder="1" applyAlignment="1">
      <x:alignment vertical="center" wrapText="1"/>
    </x:xf>
    <x:xf numFmtId="200" fontId="8" fillId="4" borderId="13" xfId="0" applyNumberFormat="1" applyFont="1" applyFill="1" applyBorder="1" applyAlignment="1">
      <x:alignment vertical="center" wrapText="1"/>
    </x:xf>
    <x:xf numFmtId="200" fontId="8" fillId="5" borderId="13" xfId="0" applyNumberFormat="1" applyFont="1" applyFill="1" applyBorder="1" applyAlignment="1">
      <x:alignment vertical="center" wrapText="1"/>
    </x:xf>
    <x:xf numFmtId="204" fontId="8" fillId="5" borderId="13" xfId="0" applyNumberFormat="1" applyFont="1" applyFill="1" applyBorder="1" applyAlignment="1">
      <x:alignment vertical="center" wrapText="1"/>
    </x:xf>
    <x:xf numFmtId="204" fontId="8" fillId="5" borderId="14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3" fillId="3" borderId="15" xfId="0" applyNumberFormat="1" applyFont="1" applyFill="1" applyBorder="1" applyAlignment="1">
      <x:alignment horizontal="center" vertical="center" wrapText="1"/>
    </x:xf>
    <x:xf numFmtId="0" fontId="5" fillId="4" borderId="15" xfId="0" applyNumberFormat="1" applyFont="1" applyFill="1" applyBorder="1" applyAlignment="1">
      <x:alignment horizontal="center"/>
    </x:xf>
    <x:xf numFmtId="200" fontId="0" fillId="0" borderId="15" xfId="0" applyNumberFormat="1" applyFont="1" applyFill="1" applyBorder="1"/>
    <x:xf numFmtId="0" fontId="8" fillId="10" borderId="13" xfId="0" applyNumberFormat="1" applyFont="1" applyFill="1" applyBorder="1" applyAlignment="1">
      <x:alignment vertical="center" wrapText="1"/>
    </x:xf>
    <x:xf numFmtId="0" fontId="8" fillId="10" borderId="1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4">
    <x:dxf>
      <x:font>
        <x:color rgb="FF36413B"/>
      </x:font>
      <x:fill>
        <x:patternFill patternType="solid">
          <x:bgColor rgb="FFE6E8E6"/>
        </x:patternFill>
      </x:fill>
    </x:dxf>
    <x:dxf>
      <x:font>
        <x:color rgb="FF245777"/>
      </x:font>
      <x:fill>
        <x:patternFill patternType="solid">
          <x:bgColor rgb="FFDCEBF4"/>
        </x:patternFill>
      </x:fill>
    </x:dxf>
    <x:dxf>
      <x:font>
        <x:b/>
        <x:color rgb="FF244A9B"/>
      </x:font>
      <x:fill>
        <x:patternFill patternType="solid">
          <x:bgColor rgb="FFD9E6FF"/>
        </x:patternFill>
      </x:fill>
    </x:dxf>
    <x:dxf>
      <x:font>
        <x:b/>
        <x:color rgb="FF5A3C86"/>
      </x:font>
      <x:fill>
        <x:patternFill patternType="solid">
          <x:bgColor rgb="FFE8DDF5"/>
        </x:patternFill>
      </x:fill>
    </x:dxf>
    <x:dxf>
      <x:font>
        <x:b/>
        <x:color rgb="FF8A5713"/>
      </x:font>
      <x:fill>
        <x:patternFill patternType="solid">
          <x:bgColor rgb="FFFFE8BC"/>
        </x:patternFill>
      </x:fill>
    </x:dxf>
    <x:dxf>
      <x:font>
        <x:b/>
        <x:color rgb="FF2F6B45"/>
      </x:font>
      <x:fill>
        <x:patternFill patternType="solid">
          <x:bgColor rgb="FFDFF0E4"/>
        </x:patternFill>
      </x:fill>
    </x:dxf>
    <x:dxf>
      <x:font>
        <x:b/>
        <x:color rgb="FF8B5C18"/>
      </x:font>
      <x:fill>
        <x:patternFill patternType="solid">
          <x:bgColor rgb="FFFFF0D6"/>
        </x:patternFill>
      </x:fill>
    </x:dxf>
    <x:dxf>
      <x:font>
        <x:b/>
        <x:color rgb="FF8A3438"/>
      </x:font>
      <x:fill>
        <x:patternFill patternType="solid">
          <x:bgColor rgb="FFF7DCDD"/>
        </x:patternFill>
      </x:fill>
    </x:dxf>
    <x:dxf>
      <x:font>
        <x:color rgb="FF36413B"/>
      </x:font>
      <x:fill>
        <x:patternFill patternType="solid">
          <x:bgColor rgb="FFE6E8E6"/>
        </x:patternFill>
      </x:fill>
    </x:dxf>
    <x:dxf>
      <x:font>
        <x:color rgb="FF245777"/>
      </x:font>
      <x:fill>
        <x:patternFill patternType="solid">
          <x:bgColor rgb="FFDCEBF4"/>
        </x:patternFill>
      </x:fill>
    </x:dxf>
    <x:dxf>
      <x:font>
        <x:b/>
        <x:color rgb="FF244A9B"/>
      </x:font>
      <x:fill>
        <x:patternFill patternType="solid">
          <x:bgColor rgb="FFD9E6FF"/>
        </x:patternFill>
      </x:fill>
    </x:dxf>
    <x:dxf>
      <x:font>
        <x:b/>
        <x:color rgb="FF5A3C86"/>
      </x:font>
      <x:fill>
        <x:patternFill patternType="solid">
          <x:bgColor rgb="FFE8DDF5"/>
        </x:patternFill>
      </x:fill>
    </x:dxf>
    <x:dxf>
      <x:font>
        <x:b/>
        <x:color rgb="FF8A5713"/>
      </x:font>
      <x:fill>
        <x:patternFill patternType="solid">
          <x:bgColor rgb="FFFFE8BC"/>
        </x:patternFill>
      </x:fill>
    </x:dxf>
    <x:dxf>
      <x:font>
        <x:color rgb="FF36413B"/>
      </x:font>
      <x:fill>
        <x:patternFill patternType="solid">
          <x:bgColor rgb="FFE6E8E6"/>
        </x:patternFill>
      </x:fill>
    </x:dxf>
    <x:dxf>
      <x:font>
        <x:color rgb="FF245777"/>
      </x:font>
      <x:fill>
        <x:patternFill patternType="solid">
          <x:bgColor rgb="FFDCEBF4"/>
        </x:patternFill>
      </x:fill>
    </x:dxf>
    <x:dxf>
      <x:font>
        <x:b/>
        <x:color rgb="FF244A9B"/>
      </x:font>
      <x:fill>
        <x:patternFill patternType="solid">
          <x:bgColor rgb="FFD9E6FF"/>
        </x:patternFill>
      </x:fill>
    </x:dxf>
    <x:dxf>
      <x:font>
        <x:b/>
        <x:color rgb="FF5A3C86"/>
      </x:font>
      <x:fill>
        <x:patternFill patternType="solid">
          <x:bgColor rgb="FFE8DDF5"/>
        </x:patternFill>
      </x:fill>
    </x:dxf>
    <x:dxf>
      <x:font>
        <x:b/>
        <x:color rgb="FF8A5713"/>
      </x:font>
      <x:fill>
        <x:patternFill patternType="solid">
          <x:bgColor rgb="FFFFE8BC"/>
        </x:patternFill>
      </x:fill>
    </x:dxf>
    <x:dxf>
      <x:font>
        <x:color rgb="FF36413B"/>
      </x:font>
      <x:fill>
        <x:patternFill patternType="solid">
          <x:bgColor rgb="FFE6E8E6"/>
        </x:patternFill>
      </x:fill>
    </x:dxf>
    <x:dxf>
      <x:font>
        <x:color rgb="FF245777"/>
      </x:font>
      <x:fill>
        <x:patternFill patternType="solid">
          <x:bgColor rgb="FFDCEBF4"/>
        </x:patternFill>
      </x:fill>
    </x:dxf>
    <x:dxf>
      <x:font>
        <x:b/>
        <x:color rgb="FF244A9B"/>
      </x:font>
      <x:fill>
        <x:patternFill patternType="solid">
          <x:bgColor rgb="FFD9E6FF"/>
        </x:patternFill>
      </x:fill>
    </x:dxf>
    <x:dxf>
      <x:font>
        <x:b/>
        <x:color rgb="FF5A3C86"/>
      </x:font>
      <x:fill>
        <x:patternFill patternType="solid">
          <x:bgColor rgb="FFE8DDF5"/>
        </x:patternFill>
      </x:fill>
    </x:dxf>
    <x:dxf>
      <x:font>
        <x:b/>
        <x:color rgb="FF8A5713"/>
      </x:font>
      <x:fill>
        <x:patternFill patternType="solid">
          <x:bgColor rgb="FFFFE8BC"/>
        </x:patternFill>
      </x:fill>
    </x:dxf>
    <x:dxf>
      <x:font>
        <x:color rgb="FF36413B"/>
      </x:font>
      <x:fill>
        <x:patternFill patternType="solid">
          <x:bgColor rgb="FFE6E8E6"/>
        </x:patternFill>
      </x:fill>
    </x:dxf>
    <x:dxf>
      <x:font>
        <x:color rgb="FF245777"/>
      </x:font>
      <x:fill>
        <x:patternFill patternType="solid">
          <x:bgColor rgb="FFDCEBF4"/>
        </x:patternFill>
      </x:fill>
    </x:dxf>
    <x:dxf>
      <x:font>
        <x:b/>
        <x:color rgb="FF244A9B"/>
      </x:font>
      <x:fill>
        <x:patternFill patternType="solid">
          <x:bgColor rgb="FFD9E6FF"/>
        </x:patternFill>
      </x:fill>
    </x:dxf>
    <x:dxf>
      <x:font>
        <x:b/>
        <x:color rgb="FF5A3C86"/>
      </x:font>
      <x:fill>
        <x:patternFill patternType="solid">
          <x:bgColor rgb="FFE8DDF5"/>
        </x:patternFill>
      </x:fill>
    </x:dxf>
    <x:dxf>
      <x:font>
        <x:b/>
        <x:color rgb="FF8A5713"/>
      </x:font>
      <x:fill>
        <x:patternFill patternType="solid">
          <x:bgColor rgb="FFFFE8BC"/>
        </x:patternFill>
      </x:fill>
    </x:dxf>
    <x:dxf>
      <x:font>
        <x:b/>
        <x:color rgb="FF8A252A"/>
      </x:font>
      <x:fill>
        <x:patternFill patternType="solid">
          <x:bgColor rgb="FFF2C9CB"/>
        </x:patternFill>
      </x:fill>
    </x:dxf>
    <x:dxf>
      <x:font>
        <x:b/>
        <x:color rgb="FF7A5018"/>
      </x:font>
      <x:fill>
        <x:patternFill patternType="solid">
          <x:bgColor rgb="FFF8E0B6"/>
        </x:patternFill>
      </x:fill>
    </x:dxf>
    <x:dxf>
      <x:font>
        <x:b/>
        <x:color rgb="FF245777"/>
      </x:font>
      <x:fill>
        <x:patternFill patternType="solid">
          <x:bgColor rgb="FFDCEBF4"/>
        </x:patternFill>
      </x:fill>
    </x:dxf>
    <x:dxf>
      <x:font>
        <x:b/>
        <x:color rgb="FF8A252A"/>
      </x:font>
      <x:fill>
        <x:patternFill patternType="solid">
          <x:bgColor rgb="FFF2C9CB"/>
        </x:patternFill>
      </x:fill>
    </x:dxf>
    <x:dxf>
      <x:font>
        <x:b/>
        <x:color rgb="FF7A5018"/>
      </x:font>
      <x:fill>
        <x:patternFill patternType="solid">
          <x:bgColor rgb="FFF8E0B6"/>
        </x:patternFill>
      </x:fill>
    </x:dxf>
    <x:dxf>
      <x:font>
        <x:b/>
        <x:color rgb="FF245777"/>
      </x:font>
      <x:fill>
        <x:patternFill patternType="solid">
          <x:bgColor rgb="FFDCEB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ae4a1dc2194996" /><Relationship Type="http://schemas.openxmlformats.org/officeDocument/2006/relationships/theme" Target="/xl/theme/theme1.xml" Id="Re4925ab8e7054545" /><Relationship Type="http://schemas.openxmlformats.org/officeDocument/2006/relationships/sharedStrings" Target="/xl/sharedStrings.xml" Id="R8b58242f2c9e44a0" /><Relationship Type="http://schemas.openxmlformats.org/officeDocument/2006/relationships/worksheet" Target="/xl/worksheets/sheet1.xml" Id="Rfa13d270c12945d4" /><Relationship Type="http://schemas.openxmlformats.org/officeDocument/2006/relationships/worksheet" Target="/xl/worksheets/sheet2.xml" Id="R0a4a9ab4708c47ac" /><Relationship Type="http://schemas.openxmlformats.org/officeDocument/2006/relationships/worksheet" Target="/xl/worksheets/sheet3.xml" Id="Rea95946c2adf4fe0" /><Relationship Type="http://schemas.openxmlformats.org/officeDocument/2006/relationships/worksheet" Target="/xl/worksheets/sheet4.xml" Id="Rd8c48fd12f504a1d" /><Relationship Type="http://schemas.openxmlformats.org/officeDocument/2006/relationships/worksheet" Target="/xl/worksheets/sheet5.xml" Id="R26653d0d136b4a21" /><Relationship Type="http://schemas.openxmlformats.org/officeDocument/2006/relationships/worksheet" Target="/xl/worksheets/sheet6.xml" Id="R73aa32ea40ed410e" /><Relationship Type="http://schemas.openxmlformats.org/officeDocument/2006/relationships/worksheet" Target="/xl/worksheets/sheet7.xml" Id="R70db25f54e224602" /><Relationship Type="http://schemas.openxmlformats.org/officeDocument/2006/relationships/worksheet" Target="/xl/worksheets/sheet8.xml" Id="R45999f9911c54b8a" /><Relationship Type="http://schemas.openxmlformats.org/officeDocument/2006/relationships/worksheet" Target="/xl/worksheets/sheet9.xml" Id="Rfb89c21ae4f640e2" /><Relationship Type="http://schemas.openxmlformats.org/officeDocument/2006/relationships/worksheet" Target="/xl/worksheets/sheet10.xml" Id="R38f86705a8aa476c" /></Relationships>
</file>

<file path=xl/tables/table1.xml><?xml version="1.0" encoding="utf-8"?>
<x:table xmlns:x="http://schemas.openxmlformats.org/spreadsheetml/2006/main" id="1" name="ItemMasterTable" displayName="ItemMasterTable" ref="A5:R39" headerRowCount="1" totalsRowCount="0" totalsRowShown="0">
  <x:tableColumns count="18">
    <x:tableColumn id="1" name="系统ID"/>
    <x:tableColumn id="2" name="显示编号"/>
    <x:tableColumn id="3" name="大类"/>
    <x:tableColumn id="4" name="子类/定位"/>
    <x:tableColumn id="5" name="物品名称"/>
    <x:tableColumn id="6" name="稀有度"/>
    <x:tableColumn id="7" name="实现状态"/>
    <x:tableColumn id="8" name="完整描述"/>
    <x:tableColumn id="9" name="占格"/>
    <x:tableColumn id="10" name="堆叠上限"/>
    <x:tableColumn id="11" name="标准重量(kg)"/>
    <x:tableColumn id="12" name="买入价"/>
    <x:tableColumn id="13" name="回收价"/>
    <x:tableColumn id="14" name="掉落权重"/>
    <x:tableColumn id="15" name="回收价值/格"/>
    <x:tableColumn id="16" name="核心效果"/>
    <x:tableColumn id="17" name="代码/数据来源"/>
    <x:tableColumn id="18" name="实现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sumableBalanceTable" displayName="ConsumableBalanceTable" ref="A5:R12" headerRowCount="1" totalsRowCount="0" totalsRowShown="0">
  <x:tableColumns count="18">
    <x:tableColumn id="1" name="系统ID"/>
    <x:tableColumn id="2" name="显示编号"/>
    <x:tableColumn id="3" name="名称"/>
    <x:tableColumn id="4" name="类型"/>
    <x:tableColumn id="5" name="稀有度"/>
    <x:tableColumn id="6" name="单次效果"/>
    <x:tableColumn id="7" name="效果单位"/>
    <x:tableColumn id="8" name="使用时间(s)"/>
    <x:tableColumn id="9" name="最大耐久/次数"/>
    <x:tableColumn id="10" name="每次消耗"/>
    <x:tableColumn id="11" name="满状态次数"/>
    <x:tableColumn id="12" name="理论总效果"/>
    <x:tableColumn id="13" name="适用目标"/>
    <x:tableColumn id="14" name="占格"/>
    <x:tableColumn id="15" name="重量(kg)"/>
    <x:tableColumn id="16" name="买入价"/>
    <x:tableColumn id="17" name="回收价"/>
    <x:tableColumn id="18" name="设计/实现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mmoBalanceTable" displayName="AmmoBalanceTable" ref="A5:T17" headerRowCount="1" totalsRowCount="0" totalsRowShown="0">
  <x:tableColumns count="20">
    <x:tableColumn id="1" name="系统ID"/>
    <x:tableColumn id="2" name="显示编号"/>
    <x:tableColumn id="3" name="名称"/>
    <x:tableColumn id="4" name="适用武器"/>
    <x:tableColumn id="5" name="代码AmmoType"/>
    <x:tableColumn id="6" name="等级"/>
    <x:tableColumn id="7" name="稀有度"/>
    <x:tableColumn id="8" name="穿透"/>
    <x:tableColumn id="9" name="穿透级"/>
    <x:tableColumn id="10" name="伤害倍率"/>
    <x:tableColumn id="11" name="基础单丸伤害"/>
    <x:tableColumn id="12" name="弹丸数"/>
    <x:tableColumn id="13" name="每扳机伤害"/>
    <x:tableColumn id="14" name="射击间隔(s)"/>
    <x:tableColumn id="15" name="理论DPS"/>
    <x:tableColumn id="16" name="弹匣"/>
    <x:tableColumn id="17" name="每发价格"/>
    <x:tableColumn id="18" name="60发价值"/>
    <x:tableColumn id="19" name="60发重量(kg)"/>
    <x:tableColumn id="20" name="实现状态/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eaponBalanceTable" displayName="WeaponBalanceTable" ref="A5:AA12" headerRowCount="1" totalsRowCount="0" totalsRowShown="0">
  <x:tableColumns count="27">
    <x:tableColumn id="1" name="系统ID"/>
    <x:tableColumn id="2" name="显示编号"/>
    <x:tableColumn id="3" name="原编号"/>
    <x:tableColumn id="4" name="名称"/>
    <x:tableColumn id="5" name="稀有度"/>
    <x:tableColumn id="6" name="射击模式"/>
    <x:tableColumn id="7" name="弹药"/>
    <x:tableColumn id="8" name="单丸伤害"/>
    <x:tableColumn id="9" name="弹丸数"/>
    <x:tableColumn id="10" name="每扳机伤害"/>
    <x:tableColumn id="11" name="间隔(s)"/>
    <x:tableColumn id="12" name="RPM"/>
    <x:tableColumn id="13" name="理论DPS"/>
    <x:tableColumn id="14" name="弹匣"/>
    <x:tableColumn id="15" name="换弹(s)"/>
    <x:tableColumn id="16" name="清空弹匣(s)"/>
    <x:tableColumn id="17" name="弹匣总伤害"/>
    <x:tableColumn id="18" name="持续DPS(含换弹)"/>
    <x:tableColumn id="19" name="100血命中数"/>
    <x:tableColumn id="20" name="100血TTK(s)"/>
    <x:tableColumn id="21" name="射程"/>
    <x:tableColumn id="22" name="后坐力"/>
    <x:tableColumn id="23" name="基础散布"/>
    <x:tableColumn id="24" name="移动散布"/>
    <x:tableColumn id="25" name="持枪移速"/>
    <x:tableColumn id="26" name="瞄准散布倍率"/>
    <x:tableColumn id="27" name="瞄准移速倍率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rmorBalanceTable" displayName="ArmorBalanceTable" ref="A5:V13" headerRowCount="1" totalsRowCount="0" totalsRowShown="0">
  <x:tableColumns count="22">
    <x:tableColumn id="1" name="系统ID"/>
    <x:tableColumn id="2" name="显示编号"/>
    <x:tableColumn id="3" name="名称"/>
    <x:tableColumn id="4" name="稀有度"/>
    <x:tableColumn id="5" name="防护等级"/>
    <x:tableColumn id="6" name="等级值"/>
    <x:tableColumn id="7" name="最大耐久"/>
    <x:tableColumn id="8" name="满耐久吸收"/>
    <x:tableColumn id="9" name="同级弹承伤率"/>
    <x:tableColumn id="10" name="理论有效生命"/>
    <x:tableColumn id="11" name="步行倍率"/>
    <x:tableColumn id="12" name="奔跑倍率"/>
    <x:tableColumn id="13" name="步行惩罚"/>
    <x:tableColumn id="14" name="奔跑惩罚"/>
    <x:tableColumn id="15" name="最大维修次数"/>
    <x:tableColumn id="16" name="单次恢复"/>
    <x:tableColumn id="17" name="总可恢复耐久"/>
    <x:tableColumn id="18" name="最低维修包"/>
    <x:tableColumn id="19" name="占格"/>
    <x:tableColumn id="20" name="重量(kg)"/>
    <x:tableColumn id="21" name="买入价"/>
    <x:tableColumn id="22" name="回收价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ixelArtPromptTable" displayName="PixelArtPromptTable" ref="A5:G39" headerRowCount="1" totalsRowCount="0" totalsRowShown="0">
  <x:tableColumns count="7">
    <x:tableColumn id="1" name="系统ID"/>
    <x:tableColumn id="2" name="显示编号"/>
    <x:tableColumn id="3" name="物品名称"/>
    <x:tableColumn id="4" name="Appearance Description (EN)"/>
    <x:tableColumn id="5" name="UI图标建议占用"/>
    <x:tableColumn id="6" name="地面拾取物建议尺寸"/>
    <x:tableColumn id="7" name="比例说明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ImplementationReviewTable" displayName="ImplementationReviewTable" ref="A5:F15" headerRowCount="1" totalsRowCount="0" totalsRowShown="0">
  <x:tableColumns count="6">
    <x:tableColumn id="1" name="优先级"/>
    <x:tableColumn id="2" name="问题"/>
    <x:tableColumn id="3" name="当前证据"/>
    <x:tableColumn id="4" name="策划决定"/>
    <x:tableColumn id="5" name="玩家影响"/>
    <x:tableColumn id="6" name="建议处理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xpansionBacklogTable" displayName="ExpansionBacklogTable" ref="A5:F17" headerRowCount="1" totalsRowCount="0" totalsRowShown="0">
  <x:tableColumns count="6">
    <x:tableColumn id="1" name="优先级"/>
    <x:tableColumn id="2" name="品类"/>
    <x:tableColumn id="3" name="候选物品"/>
    <x:tableColumn id="4" name="核心作用"/>
    <x:tableColumn id="5" name="为什么需要"/>
    <x:tableColumn id="6" name="建议阶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6bf12c2aa54d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55317fd5b04b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3124b23acb48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c35a5f1d3e449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ac064632704d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a589957a7444d6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393ee3d6e0e430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6832430330164f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4" hidden="0" customWidth="1"/>
    <x:col min="4" max="4" width="3" hidden="0" customWidth="1"/>
    <x:col min="5" max="5" width="9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4" customHeight="1">
      <x:c r="A1" s="3" t="str">
        <x:v>搜打撤道具系统｜首版数值与美术规范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8" customHeight="1">
      <x:c r="A2" s="7" t="str">
        <x:v>基于当前 Unity 原型整理：34 件现有物品、统一编号、经济与背包参数、穿透模型、英文像素风生成提示词。版本：2026-08-01。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4" customHeight="1">
      <x:c r="A4" s="15" t="str">
        <x:v>全局基准</x:v>
      </x:c>
      <x:c r="B4" s="16" t="str">
        <x:v>数值</x:v>
      </x:c>
      <x:c r="E4" s="15" t="str">
        <x:v>必须先处理的实现差异</x:v>
      </x:c>
      <x:c r="F4" s="32"/>
      <x:c r="G4" s="32"/>
      <x:c r="H4" s="32"/>
      <x:c r="I4" s="32"/>
      <x:c r="J4" s="32"/>
      <x:c r="K4" s="32"/>
      <x:c r="L4" s="16"/>
    </x:row>
    <x:row r="5" ht="52" customHeight="1">
      <x:c r="A5" s="26" t="str">
        <x:v>玩家最大生命</x:v>
      </x:c>
      <x:c r="B5" s="22" t="n">
        <x:v>100</x:v>
      </x:c>
      <x:c r="E5" s="52" t="str">
        <x:v>P0</x:v>
      </x:c>
      <x:c r="F5" s="53" t="str">
        <x:v>弹药混堆</x:v>
      </x:c>
      <x:c r="G5" s="54" t="str">
        <x:v>背包按 ammoType 堆叠，忽略高级/低级与 ammoData；AR、DMR 及不同等级弹药会互相污染。</x:v>
      </x:c>
      <x:c r="H5" s="54"/>
      <x:c r="I5" s="54"/>
      <x:c r="J5" s="54"/>
      <x:c r="K5" s="54"/>
      <x:c r="L5" s="54"/>
    </x:row>
    <x:row r="6" ht="52" customHeight="1">
      <x:c r="A6" s="27" t="str">
        <x:v>玩家最大体力</x:v>
      </x:c>
      <x:c r="B6" s="23" t="n">
        <x:v>100</x:v>
      </x:c>
      <x:c r="E6" s="55" t="str">
        <x:v>P0</x:v>
      </x:c>
      <x:c r="F6" s="56" t="str">
        <x:v>弹药误消耗</x:v>
      </x:c>
      <x:c r="G6" s="57" t="str">
        <x:v>换弹按 ammoType+等级消耗，SVD 可能消耗 M4A1 弹药。需统一弹药池或拆分类型。</x:v>
      </x:c>
      <x:c r="H6" s="57"/>
      <x:c r="I6" s="57"/>
      <x:c r="J6" s="57"/>
      <x:c r="K6" s="57"/>
      <x:c r="L6" s="57"/>
    </x:row>
    <x:row r="7" ht="52" customHeight="1">
      <x:c r="A7" s="27" t="str">
        <x:v>默认背包格数</x:v>
      </x:c>
      <x:c r="B7" s="23" t="n">
        <x:v>9</x:v>
      </x:c>
      <x:c r="E7" s="55" t="str">
        <x:v>P0</x:v>
      </x:c>
      <x:c r="F7" s="56" t="str">
        <x:v>10 格物品</x:v>
      </x:c>
      <x:c r="G7" s="57" t="str">
        <x:v>默认背包 9 格，PKM 与高级重甲占 10 格，无法正常拾取；复合重装更占 14 格。</x:v>
      </x:c>
      <x:c r="H7" s="57"/>
      <x:c r="I7" s="57"/>
      <x:c r="J7" s="57"/>
      <x:c r="K7" s="57"/>
      <x:c r="L7" s="57"/>
    </x:row>
    <x:row r="8" ht="52" customHeight="1">
      <x:c r="A8" s="27" t="str">
        <x:v>弹药每格上限</x:v>
      </x:c>
      <x:c r="B8" s="23" t="n">
        <x:v>60</x:v>
      </x:c>
      <x:c r="E8" s="55" t="str">
        <x:v>P1</x:v>
      </x:c>
      <x:c r="F8" s="56" t="str">
        <x:v>特种维修</x:v>
      </x:c>
      <x:c r="G8" s="57" t="str">
        <x:v>Special 套件当前恒定不可用，与“专修复合重装/定制轻装、可用两次”相冲突。</x:v>
      </x:c>
      <x:c r="H8" s="57"/>
      <x:c r="I8" s="57"/>
      <x:c r="J8" s="57"/>
      <x:c r="K8" s="57"/>
      <x:c r="L8" s="57"/>
    </x:row>
    <x:row r="9" ht="52" customHeight="1">
      <x:c r="A9" s="27" t="str">
        <x:v>穿透/护甲等级数</x:v>
      </x:c>
      <x:c r="B9" s="23" t="n">
        <x:v>4</x:v>
      </x:c>
      <x:c r="E9" s="55" t="str">
        <x:v>P1</x:v>
      </x:c>
      <x:c r="F9" s="56" t="str">
        <x:v>使用时间</x:v>
      </x:c>
      <x:c r="G9" s="57" t="str">
        <x:v>医疗 useTime 目前只是字段，Use 会立即治疗；维修也缺少完整的打断与消耗流程。</x:v>
      </x:c>
      <x:c r="H9" s="57"/>
      <x:c r="I9" s="57"/>
      <x:c r="J9" s="57"/>
      <x:c r="K9" s="57"/>
      <x:c r="L9" s="57"/>
    </x:row>
    <x:row r="10" ht="52" customHeight="1">
      <x:c r="A10" s="27" t="str">
        <x:v>首版物品总数</x:v>
      </x:c>
      <x:c r="B10" s="23" t="n">
        <x:f>COUNTA('物品总表'!$A$6:$A$39)</x:f>
        <x:v>34</x:v>
      </x:c>
      <x:c r="E10" s="58" t="str">
        <x:v>P1</x:v>
      </x:c>
      <x:c r="F10" s="59" t="str">
        <x:v>护甲减伤</x:v>
      </x:c>
      <x:c r="G10" s="60" t="str">
        <x:v>穿透倍率与吸收率相乘，顶级满耐久护甲会产生非常高的有效生命，需要实战压测。</x:v>
      </x:c>
      <x:c r="H10" s="60"/>
      <x:c r="I10" s="60"/>
      <x:c r="J10" s="60"/>
      <x:c r="K10" s="60"/>
      <x:c r="L10" s="60"/>
    </x:row>
    <x:row r="11">
      <x:c r="A11" s="27" t="str">
        <x:v>商店回收价比例</x:v>
      </x:c>
      <x:c r="B11" s="24" t="n">
        <x:v>0.35</x:v>
      </x:c>
    </x:row>
    <x:row r="12" ht="34" customHeight="1">
      <x:c r="A12" s="28" t="str">
        <x:v>经济单位</x:v>
      </x:c>
      <x:c r="B12" s="25" t="str">
        <x:v>信用点</x:v>
      </x:c>
      <x:c r="E12" s="15" t="str">
        <x:v>数值解释</x:v>
      </x:c>
      <x:c r="F12" s="32"/>
      <x:c r="G12" s="32"/>
      <x:c r="H12" s="32"/>
      <x:c r="I12" s="32"/>
      <x:c r="J12" s="32"/>
      <x:c r="K12" s="32"/>
      <x:c r="L12" s="16"/>
    </x:row>
    <x:row r="13" ht="36" customHeight="1">
      <x:c r="E13" s="64" t="str">
        <x:v>价格为首轮封闭测试建议值；回收价统一为买价的 35%，可在 B11 修改。</x:v>
      </x:c>
      <x:c r="F13" s="64"/>
      <x:c r="G13" s="64"/>
      <x:c r="H13" s="64"/>
      <x:c r="I13" s="64"/>
      <x:c r="J13" s="64"/>
      <x:c r="K13" s="64"/>
      <x:c r="L13" s="64"/>
    </x:row>
    <x:row r="14" ht="36" customHeight="1">
      <x:c r="A14" s="15" t="str">
        <x:v>分类</x:v>
      </x:c>
      <x:c r="B14" s="32" t="str">
        <x:v>数量</x:v>
      </x:c>
      <x:c r="C14" s="16" t="str">
        <x:v>占比</x:v>
      </x:c>
      <x:c r="E14" s="65" t="str">
        <x:v>掉落权重是相对权重，不是直接百分比；0 表示暂不进入掉落池。</x:v>
      </x:c>
      <x:c r="F14" s="65"/>
      <x:c r="G14" s="65"/>
      <x:c r="H14" s="65"/>
      <x:c r="I14" s="65"/>
      <x:c r="J14" s="65"/>
      <x:c r="K14" s="65"/>
      <x:c r="L14" s="65"/>
    </x:row>
    <x:row r="15" ht="36" customHeight="1">
      <x:c r="A15" s="33" t="str">
        <x:v>医疗</x:v>
      </x:c>
      <x:c r="B15" s="33" t="n">
        <x:f>COUNTIF('物品总表'!$C$6:$C$39,A15)</x:f>
        <x:v>3</x:v>
      </x:c>
      <x:c r="C15" s="34" t="n">
        <x:f>B15/$B$10</x:f>
        <x:v>0.08823529411764706</x:v>
      </x:c>
      <x:c r="E15" s="65" t="str">
        <x:v>武器 DPS、TTK 均为理想命中；霰弹枪按全部弹丸命中计算，实战会明显更低。</x:v>
      </x:c>
      <x:c r="F15" s="65"/>
      <x:c r="G15" s="65"/>
      <x:c r="H15" s="65"/>
      <x:c r="I15" s="65"/>
      <x:c r="J15" s="65"/>
      <x:c r="K15" s="65"/>
      <x:c r="L15" s="65"/>
    </x:row>
    <x:row r="16" ht="36" customHeight="1">
      <x:c r="A16" s="35" t="str">
        <x:v>弹药</x:v>
      </x:c>
      <x:c r="B16" s="35" t="n">
        <x:f>COUNTIF('物品总表'!$C$6:$C$39,A16)</x:f>
        <x:v>12</x:v>
      </x:c>
      <x:c r="C16" s="36" t="n">
        <x:f>B16/$B$10</x:f>
        <x:v>0.35294117647058826</x:v>
      </x:c>
      <x:c r="E16" s="65" t="str">
        <x:v>护甲有效生命只展示满耐久、同级穿透的理论值；耐久下降后吸收率会线性衰减。</x:v>
      </x:c>
      <x:c r="F16" s="65"/>
      <x:c r="G16" s="65"/>
      <x:c r="H16" s="65"/>
      <x:c r="I16" s="65"/>
      <x:c r="J16" s="65"/>
      <x:c r="K16" s="65"/>
      <x:c r="L16" s="65"/>
    </x:row>
    <x:row r="17" ht="36" customHeight="1">
      <x:c r="A17" s="35" t="str">
        <x:v>维修</x:v>
      </x:c>
      <x:c r="B17" s="35" t="n">
        <x:f>COUNTIF('物品总表'!$C$6:$C$39,A17)</x:f>
        <x:v>4</x:v>
      </x:c>
      <x:c r="C17" s="36" t="n">
        <x:f>B17/$B$10</x:f>
        <x:v>0.11764705882352941</x:v>
      </x:c>
      <x:c r="E17" s="66" t="str">
        <x:v>美术外观描述为英文；世界基准 1 格=32×32 px，角色约 26×64 px，UI 图标画布统一 32×32 px。</x:v>
      </x:c>
      <x:c r="F17" s="66"/>
      <x:c r="G17" s="66"/>
      <x:c r="H17" s="66"/>
      <x:c r="I17" s="66"/>
      <x:c r="J17" s="66"/>
      <x:c r="K17" s="66"/>
      <x:c r="L17" s="66"/>
    </x:row>
    <x:row r="18">
      <x:c r="A18" s="35" t="str">
        <x:v>武器</x:v>
      </x:c>
      <x:c r="B18" s="35" t="n">
        <x:f>COUNTIF('物品总表'!$C$6:$C$39,A18)</x:f>
        <x:v>7</x:v>
      </x:c>
      <x:c r="C18" s="36" t="n">
        <x:f>B18/$B$10</x:f>
        <x:v>0.20588235294117646</x:v>
      </x:c>
    </x:row>
    <x:row r="19">
      <x:c r="A19" s="35" t="str">
        <x:v>护甲</x:v>
      </x:c>
      <x:c r="B19" s="35" t="n">
        <x:f>COUNTIF('物品总表'!$C$6:$C$39,A19)</x:f>
        <x:v>8</x:v>
      </x:c>
      <x:c r="C19" s="36" t="n">
        <x:f>B19/$B$10</x:f>
        <x:v>0.23529411764705882</x:v>
      </x:c>
    </x:row>
    <x:row r="20">
      <x:c r="A20" s="41" t="str">
        <x:v>合计</x:v>
      </x:c>
      <x:c r="B20" s="41" t="n">
        <x:f>SUM(B15:B19)</x:f>
        <x:v>34</x:v>
      </x:c>
      <x:c r="C20" s="42" t="n">
        <x:f>SUM(C15:C19)</x:f>
        <x:v>1</x:v>
      </x:c>
    </x:row>
  </x:sheetData>
  <x:mergeCells>
    <x:mergeCell ref="A1:L1"/>
    <x:mergeCell ref="A2:L2"/>
    <x:mergeCell ref="E4:L4"/>
    <x:mergeCell ref="G5:L5"/>
    <x:mergeCell ref="G6:L6"/>
    <x:mergeCell ref="G7:L7"/>
    <x:mergeCell ref="G8:L8"/>
    <x:mergeCell ref="G9:L9"/>
    <x:mergeCell ref="G10:L10"/>
    <x:mergeCell ref="E12:L12"/>
    <x:mergeCell ref="E13:L13"/>
    <x:mergeCell ref="E14:L14"/>
    <x:mergeCell ref="E15:L15"/>
    <x:mergeCell ref="E16:L16"/>
    <x:mergeCell ref="E17:L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0" hidden="0" customWidth="1"/>
    <x:col min="4" max="4" width="22" hidden="0" customWidth="1"/>
    <x:col min="5" max="5" width="24" hidden="0" customWidth="1"/>
    <x:col min="6" max="6" width="10" hidden="0" customWidth="1"/>
    <x:col min="7" max="7" width="12" hidden="0" customWidth="1"/>
    <x:col min="8" max="8" width="48" hidden="0" customWidth="1"/>
    <x:col min="9" max="9" width="8" hidden="0" customWidth="1"/>
    <x:col min="10" max="10" width="10" hidden="0" customWidth="1"/>
    <x:col min="11" max="11" width="14" hidden="0" customWidth="1"/>
    <x:col min="12" max="12" width="12" hidden="0" customWidth="1"/>
    <x:col min="13" max="13" width="12" hidden="0" customWidth="1"/>
    <x:col min="14" max="14" width="11" hidden="0" customWidth="1"/>
    <x:col min="15" max="15" width="15" hidden="0" customWidth="1"/>
    <x:col min="16" max="16" width="34" hidden="0" customWidth="1"/>
    <x:col min="17" max="17" width="30" hidden="0" customWidth="1"/>
    <x:col min="18" max="18" width="42" hidden="0" customWidth="1"/>
  </x:cols>
  <x:sheetData>
    <x:row r="1" ht="34" customHeight="1">
      <x:c r="A1" s="3" t="str">
        <x:v>物品总表｜34 件首版清单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8" customHeight="1">
      <x:c r="A2" s="7" t="str">
        <x:v>系统 ID 采用 1xxx 医疗、2xxx 弹药、3xxx 维修、4xxx 武器、5xxx 护甲；显示编号用于 UI 与策划沟通。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>
      <x:c r="A3" s="125"/>
      <x:c r="B3" s="125"/>
      <x:c r="C3" s="125"/>
      <x:c r="D3" s="125"/>
      <x:c r="E3" s="125"/>
      <x:c r="F3" s="125"/>
      <x:c r="G3" s="125"/>
      <x:c r="H3" s="125"/>
      <x:c r="I3" s="125"/>
      <x:c r="J3" s="125"/>
      <x:c r="K3" s="125"/>
      <x:c r="L3" s="125"/>
      <x:c r="M3" s="125"/>
      <x:c r="N3" s="125"/>
      <x:c r="O3" s="125"/>
      <x:c r="P3" s="125"/>
      <x:c r="Q3" s="125"/>
      <x:c r="R3" s="125"/>
    </x:row>
    <x:row r="4">
      <x:c r="A4" s="126" t="str">
        <x:v>蓝色列为输入；绿色列为公式。重量：普通物品为单件重量，弹药为 60 发满堆重量。</x:v>
      </x:c>
      <x:c r="B4" s="126"/>
      <x:c r="C4" s="126"/>
      <x:c r="D4" s="126"/>
      <x:c r="E4" s="126"/>
      <x:c r="F4" s="126"/>
      <x:c r="G4" s="126"/>
      <x:c r="H4" s="126"/>
      <x:c r="I4" s="126"/>
      <x:c r="J4" s="126"/>
      <x:c r="K4" s="126"/>
      <x:c r="L4" s="126"/>
      <x:c r="M4" s="126"/>
      <x:c r="N4" s="126"/>
      <x:c r="O4" s="126"/>
      <x:c r="P4" s="126"/>
      <x:c r="Q4" s="126"/>
      <x:c r="R4" s="126"/>
    </x:row>
    <x:row r="5" ht="34" customHeight="1">
      <x:c r="A5" s="15" t="str">
        <x:v>系统ID</x:v>
      </x:c>
      <x:c r="B5" s="32" t="str">
        <x:v>显示编号</x:v>
      </x:c>
      <x:c r="C5" s="32" t="str">
        <x:v>大类</x:v>
      </x:c>
      <x:c r="D5" s="32" t="str">
        <x:v>子类/定位</x:v>
      </x:c>
      <x:c r="E5" s="32" t="str">
        <x:v>物品名称</x:v>
      </x:c>
      <x:c r="F5" s="32" t="str">
        <x:v>稀有度</x:v>
      </x:c>
      <x:c r="G5" s="32" t="str">
        <x:v>实现状态</x:v>
      </x:c>
      <x:c r="H5" s="32" t="str">
        <x:v>完整描述</x:v>
      </x:c>
      <x:c r="I5" s="32" t="str">
        <x:v>占格</x:v>
      </x:c>
      <x:c r="J5" s="32" t="str">
        <x:v>堆叠上限</x:v>
      </x:c>
      <x:c r="K5" s="32" t="str">
        <x:v>标准重量(kg)</x:v>
      </x:c>
      <x:c r="L5" s="32" t="str">
        <x:v>买入价</x:v>
      </x:c>
      <x:c r="M5" s="32" t="str">
        <x:v>回收价</x:v>
      </x:c>
      <x:c r="N5" s="32" t="str">
        <x:v>掉落权重</x:v>
      </x:c>
      <x:c r="O5" s="32" t="str">
        <x:v>回收价值/格</x:v>
      </x:c>
      <x:c r="P5" s="32" t="str">
        <x:v>核心效果</x:v>
      </x:c>
      <x:c r="Q5" s="32" t="str">
        <x:v>代码/数据来源</x:v>
      </x:c>
      <x:c r="R5" s="16" t="str">
        <x:v>实现备注</x:v>
      </x:c>
    </x:row>
    <x:row r="6" ht="50" customHeight="1">
      <x:c r="A6" s="82" t="n">
        <x:v>1001</x:v>
      </x:c>
      <x:c r="B6" s="82" t="str">
        <x:v>MED-01</x:v>
      </x:c>
      <x:c r="C6" s="76" t="str">
        <x:v>医疗</x:v>
      </x:c>
      <x:c r="D6" s="76" t="str">
        <x:v>医疗</x:v>
      </x:c>
      <x:c r="E6" s="76" t="str">
        <x:v>医疗针</x:v>
      </x:c>
      <x:c r="F6" s="82" t="str">
        <x:v>普通</x:v>
      </x:c>
      <x:c r="G6" s="82" t="str">
        <x:v>已实现</x:v>
      </x:c>
      <x:c r="H6" s="74" t="str">
        <x:v>1.0 秒恢复 40 点生命，使用后销毁。适合交火间隙快速抢救。</x:v>
      </x:c>
      <x:c r="I6" s="84" t="n">
        <x:v>1</x:v>
      </x:c>
      <x:c r="J6" s="84" t="n">
        <x:v>3</x:v>
      </x:c>
      <x:c r="K6" s="90" t="n">
        <x:v>0.2</x:v>
      </x:c>
      <x:c r="L6" s="92" t="n">
        <x:v>900</x:v>
      </x:c>
      <x:c r="M6" s="93" t="n">
        <x:f>ROUND(L6*'总览'!$B$11,0)</x:f>
        <x:v>315</x:v>
      </x:c>
      <x:c r="N6" s="94" t="n">
        <x:v>80</x:v>
      </x:c>
      <x:c r="O6" s="93" t="n">
        <x:f>IF(I6=0,0,M6/I6)</x:f>
        <x:v>315</x:v>
      </x:c>
      <x:c r="P6" s="74" t="str">
        <x:v>治疗 40；1.0 秒；1 次</x:v>
      </x:c>
      <x:c r="Q6" s="74" t="str">
        <x:v>MedicalItems.cs / itemID 1001</x:v>
      </x:c>
      <x:c r="R6" s="74" t="str">
        <x:v>useTime 字段已存在，但 MedicalItem.Use 当前会立即治疗。</x:v>
      </x:c>
    </x:row>
    <x:row r="7" ht="50" customHeight="1">
      <x:c r="A7" s="83" t="n">
        <x:v>1002</x:v>
      </x:c>
      <x:c r="B7" s="83" t="str">
        <x:v>MED-02</x:v>
      </x:c>
      <x:c r="C7" s="77" t="str">
        <x:v>医疗</x:v>
      </x:c>
      <x:c r="D7" s="77" t="str">
        <x:v>医疗</x:v>
      </x:c>
      <x:c r="E7" s="77" t="str">
        <x:v>医疗急救套组</x:v>
      </x:c>
      <x:c r="F7" s="83" t="str">
        <x:v>稀有</x:v>
      </x:c>
      <x:c r="G7" s="83" t="str">
        <x:v>已实现</x:v>
      </x:c>
      <x:c r="H7" s="75" t="str">
        <x:v>每次消耗 12 耐久，在 1.2 秒内恢复 35 点生命；满耐久可使用 9 次。</x:v>
      </x:c>
      <x:c r="I7" s="87" t="n">
        <x:v>3</x:v>
      </x:c>
      <x:c r="J7" s="87" t="n">
        <x:v>1</x:v>
      </x:c>
      <x:c r="K7" s="91" t="n">
        <x:v>1.8</x:v>
      </x:c>
      <x:c r="L7" s="95" t="n">
        <x:v>4800</x:v>
      </x:c>
      <x:c r="M7" s="96" t="n">
        <x:f>ROUND(L7*'总览'!$B$11,0)</x:f>
        <x:v>1680</x:v>
      </x:c>
      <x:c r="N7" s="97" t="n">
        <x:v>20</x:v>
      </x:c>
      <x:c r="O7" s="96" t="n">
        <x:f>IF(I7=0,0,M7/I7)</x:f>
        <x:v>560</x:v>
      </x:c>
      <x:c r="P7" s="75" t="str">
        <x:v>治疗 35；1.2 秒；9 次</x:v>
      </x:c>
      <x:c r="Q7" s="75" t="str">
        <x:v>MedicalItems.cs / itemID 1002</x:v>
      </x:c>
      <x:c r="R7" s="75" t="str">
        <x:v>将用户原名“医疗继承套组”规范为“医疗急救套组”；第 9 次会消耗剩余 4 点耐久。</x:v>
      </x:c>
    </x:row>
    <x:row r="8" ht="50" customHeight="1">
      <x:c r="A8" s="83" t="n">
        <x:v>1003</x:v>
      </x:c>
      <x:c r="B8" s="83" t="str">
        <x:v>MED-03</x:v>
      </x:c>
      <x:c r="C8" s="77" t="str">
        <x:v>医疗</x:v>
      </x:c>
      <x:c r="D8" s="77" t="str">
        <x:v>医疗</x:v>
      </x:c>
      <x:c r="E8" s="77" t="str">
        <x:v>医疗包</x:v>
      </x:c>
      <x:c r="F8" s="83" t="str">
        <x:v>优良</x:v>
      </x:c>
      <x:c r="G8" s="83" t="str">
        <x:v>已实现</x:v>
      </x:c>
      <x:c r="H8" s="75" t="str">
        <x:v>每次消耗 15 耐久，在 2.0 秒内恢复 50 点生命；满耐久可使用 4 次。</x:v>
      </x:c>
      <x:c r="I8" s="87" t="n">
        <x:v>2</x:v>
      </x:c>
      <x:c r="J8" s="87" t="n">
        <x:v>1</x:v>
      </x:c>
      <x:c r="K8" s="91" t="n">
        <x:v>1.1</x:v>
      </x:c>
      <x:c r="L8" s="95" t="n">
        <x:v>2600</x:v>
      </x:c>
      <x:c r="M8" s="96" t="n">
        <x:f>ROUND(L8*'总览'!$B$11,0)</x:f>
        <x:v>910</x:v>
      </x:c>
      <x:c r="N8" s="97" t="n">
        <x:v>45</x:v>
      </x:c>
      <x:c r="O8" s="96" t="n">
        <x:f>IF(I8=0,0,M8/I8)</x:f>
        <x:v>455</x:v>
      </x:c>
      <x:c r="P8" s="75" t="str">
        <x:v>治疗 50；2.0 秒；4 次</x:v>
      </x:c>
      <x:c r="Q8" s="75" t="str">
        <x:v>MedicalItems.cs / itemID 1003</x:v>
      </x:c>
      <x:c r="R8" s="75" t="str">
        <x:v>单次效率高于急救套组，但使用时间更长、总治疗量更低。</x:v>
      </x:c>
    </x:row>
    <x:row r="9" ht="50" customHeight="1">
      <x:c r="A9" s="83" t="n">
        <x:v>2001</x:v>
      </x:c>
      <x:c r="B9" s="83" t="str">
        <x:v>AMO-SMG-L</x:v>
      </x:c>
      <x:c r="C9" s="77" t="str">
        <x:v>弹药</x:v>
      </x:c>
      <x:c r="D9" s="77" t="str">
        <x:v>MP7 / G18C / 低级</x:v>
      </x:c>
      <x:c r="E9" s="77" t="str">
        <x:v>冲锋枪弹药（低级）</x:v>
      </x:c>
      <x:c r="F9" s="83" t="str">
        <x:v>普通</x:v>
      </x:c>
      <x:c r="G9" s="83" t="str">
        <x:v>已实现</x:v>
      </x:c>
      <x:c r="H9" s="75" t="str">
        <x:v>MP7 与 G18C 共用的低级穿透弹药；基础伤害倍率 1.00。</x:v>
      </x:c>
      <x:c r="I9" s="87" t="n">
        <x:v>1</x:v>
      </x:c>
      <x:c r="J9" s="87" t="n">
        <x:v>60</x:v>
      </x:c>
      <x:c r="K9" s="91" t="n">
        <x:v>0.72</x:v>
      </x:c>
      <x:c r="L9" s="95" t="n">
        <x:v>720</x:v>
      </x:c>
      <x:c r="M9" s="96" t="n">
        <x:f>ROUND(L9*'总览'!$B$11,0)</x:f>
        <x:v>252</x:v>
      </x:c>
      <x:c r="N9" s="97" t="n">
        <x:v>100</x:v>
      </x:c>
      <x:c r="O9" s="96" t="n">
        <x:f>IF(I9=0,0,M9/I9)</x:f>
        <x:v>252</x:v>
      </x:c>
      <x:c r="P9" s="75" t="str">
        <x:v>穿透低级；伤害倍率 1.00；60 发/格</x:v>
      </x:c>
      <x:c r="Q9" s="75" t="str">
        <x:v>AmmoTools.cs / AmmoData</x:v>
      </x:c>
      <x:c r="R9" s="75" t="str">
        <x:v>G18C 当前实际使用此弹药。</x:v>
      </x:c>
    </x:row>
    <x:row r="10" ht="50" customHeight="1">
      <x:c r="A10" s="83" t="n">
        <x:v>2002</x:v>
      </x:c>
      <x:c r="B10" s="83" t="str">
        <x:v>AMO-SMG-H</x:v>
      </x:c>
      <x:c r="C10" s="77" t="str">
        <x:v>弹药</x:v>
      </x:c>
      <x:c r="D10" s="77" t="str">
        <x:v>MP7 / G18C / 高级</x:v>
      </x:c>
      <x:c r="E10" s="77" t="str">
        <x:v>冲锋枪弹药（高级）</x:v>
      </x:c>
      <x:c r="F10" s="83" t="str">
        <x:v>稀有</x:v>
      </x:c>
      <x:c r="G10" s="83" t="str">
        <x:v>已实现</x:v>
      </x:c>
      <x:c r="H10" s="75" t="str">
        <x:v>MP7 与 G18C 共用的中级穿透弹药；基础伤害倍率 1.10。</x:v>
      </x:c>
      <x:c r="I10" s="87" t="n">
        <x:v>1</x:v>
      </x:c>
      <x:c r="J10" s="87" t="n">
        <x:v>60</x:v>
      </x:c>
      <x:c r="K10" s="91" t="n">
        <x:v>0.7799999999999999</x:v>
      </x:c>
      <x:c r="L10" s="95" t="n">
        <x:v>2100</x:v>
      </x:c>
      <x:c r="M10" s="96" t="n">
        <x:f>ROUND(L10*'总览'!$B$11,0)</x:f>
        <x:v>735</x:v>
      </x:c>
      <x:c r="N10" s="97" t="n">
        <x:v>30</x:v>
      </x:c>
      <x:c r="O10" s="96" t="n">
        <x:f>IF(I10=0,0,M10/I10)</x:f>
        <x:v>735</x:v>
      </x:c>
      <x:c r="P10" s="75" t="str">
        <x:v>穿透中级；伤害倍率 1.10；60 发/格</x:v>
      </x:c>
      <x:c r="Q10" s="75" t="str">
        <x:v>AmmoTools.cs / AmmoData</x:v>
      </x:c>
      <x:c r="R10" s="75" t="str">
        <x:v>高级弹提升伤害 10%，同时跨越低级护甲。</x:v>
      </x:c>
    </x:row>
    <x:row r="11" ht="50" customHeight="1">
      <x:c r="A11" s="83" t="n">
        <x:v>2003</x:v>
      </x:c>
      <x:c r="B11" s="83" t="str">
        <x:v>AMO-AR-L</x:v>
      </x:c>
      <x:c r="C11" s="77" t="str">
        <x:v>弹药</x:v>
      </x:c>
      <x:c r="D11" s="77" t="str">
        <x:v>M4A1 / 低级</x:v>
      </x:c>
      <x:c r="E11" s="77" t="str">
        <x:v>突击步枪弹药（低级）</x:v>
      </x:c>
      <x:c r="F11" s="83" t="str">
        <x:v>优良</x:v>
      </x:c>
      <x:c r="G11" s="83" t="str">
        <x:v>部分实现</x:v>
      </x:c>
      <x:c r="H11" s="75" t="str">
        <x:v>M4A1 使用的中级穿透弹药；基础伤害倍率 1.00。</x:v>
      </x:c>
      <x:c r="I11" s="87" t="n">
        <x:v>1</x:v>
      </x:c>
      <x:c r="J11" s="87" t="n">
        <x:v>60</x:v>
      </x:c>
      <x:c r="K11" s="91" t="n">
        <x:v>1.02</x:v>
      </x:c>
      <x:c r="L11" s="95" t="n">
        <x:v>1320</x:v>
      </x:c>
      <x:c r="M11" s="96" t="n">
        <x:f>ROUND(L11*'总览'!$B$11,0)</x:f>
        <x:v>462</x:v>
      </x:c>
      <x:c r="N11" s="97" t="n">
        <x:v>75</x:v>
      </x:c>
      <x:c r="O11" s="96" t="n">
        <x:f>IF(I11=0,0,M11/I11)</x:f>
        <x:v>462</x:v>
      </x:c>
      <x:c r="P11" s="75" t="str">
        <x:v>穿透中级；伤害倍率 1.00；60 发/格</x:v>
      </x:c>
      <x:c r="Q11" s="75" t="str">
        <x:v>AmmoTools.cs / AmmoData</x:v>
      </x:c>
      <x:c r="R11" s="75" t="str">
        <x:v>与 SVD 弹药同属 Rifle，当前背包与换弹逻辑无法稳定区分。</x:v>
      </x:c>
    </x:row>
    <x:row r="12" ht="50" customHeight="1">
      <x:c r="A12" s="83" t="n">
        <x:v>2004</x:v>
      </x:c>
      <x:c r="B12" s="83" t="str">
        <x:v>AMO-AR-H</x:v>
      </x:c>
      <x:c r="C12" s="77" t="str">
        <x:v>弹药</x:v>
      </x:c>
      <x:c r="D12" s="77" t="str">
        <x:v>M4A1 / 高级</x:v>
      </x:c>
      <x:c r="E12" s="77" t="str">
        <x:v>突击步枪弹药（高级）</x:v>
      </x:c>
      <x:c r="F12" s="83" t="str">
        <x:v>稀有</x:v>
      </x:c>
      <x:c r="G12" s="83" t="str">
        <x:v>部分实现</x:v>
      </x:c>
      <x:c r="H12" s="75" t="str">
        <x:v>M4A1 使用的高级穿透弹药；基础伤害倍率 1.15。</x:v>
      </x:c>
      <x:c r="I12" s="87" t="n">
        <x:v>1</x:v>
      </x:c>
      <x:c r="J12" s="87" t="n">
        <x:v>60</x:v>
      </x:c>
      <x:c r="K12" s="91" t="n">
        <x:v>1.0799999999999998</x:v>
      </x:c>
      <x:c r="L12" s="95" t="n">
        <x:v>3900</x:v>
      </x:c>
      <x:c r="M12" s="96" t="n">
        <x:f>ROUND(L12*'总览'!$B$11,0)</x:f>
        <x:v>1365</x:v>
      </x:c>
      <x:c r="N12" s="97" t="n">
        <x:v>22</x:v>
      </x:c>
      <x:c r="O12" s="96" t="n">
        <x:f>IF(I12=0,0,M12/I12)</x:f>
        <x:v>1365</x:v>
      </x:c>
      <x:c r="P12" s="75" t="str">
        <x:v>穿透高级；伤害倍率 1.15；60 发/格</x:v>
      </x:c>
      <x:c r="Q12" s="75" t="str">
        <x:v>AmmoTools.cs / AmmoData</x:v>
      </x:c>
      <x:c r="R12" s="75" t="str">
        <x:v>建议拆分 M4A1 与 SVD 弹药类型，或改用 ammoData ID 精确匹配。</x:v>
      </x:c>
    </x:row>
    <x:row r="13" ht="50" customHeight="1">
      <x:c r="A13" s="83" t="n">
        <x:v>2005</x:v>
      </x:c>
      <x:c r="B13" s="83" t="str">
        <x:v>AMO-DMR-L</x:v>
      </x:c>
      <x:c r="C13" s="77" t="str">
        <x:v>弹药</x:v>
      </x:c>
      <x:c r="D13" s="77" t="str">
        <x:v>SVD / 低级</x:v>
      </x:c>
      <x:c r="E13" s="77" t="str">
        <x:v>射手步枪弹药（低级）</x:v>
      </x:c>
      <x:c r="F13" s="83" t="str">
        <x:v>稀有</x:v>
      </x:c>
      <x:c r="G13" s="83" t="str">
        <x:v>部分实现</x:v>
      </x:c>
      <x:c r="H13" s="75" t="str">
        <x:v>SVD 使用的高级穿透弹药；基础伤害倍率 1.00。</x:v>
      </x:c>
      <x:c r="I13" s="87" t="n">
        <x:v>1</x:v>
      </x:c>
      <x:c r="J13" s="87" t="n">
        <x:v>60</x:v>
      </x:c>
      <x:c r="K13" s="91" t="n">
        <x:v>1.3199999999999998</x:v>
      </x:c>
      <x:c r="L13" s="95" t="n">
        <x:v>3300</x:v>
      </x:c>
      <x:c r="M13" s="96" t="n">
        <x:f>ROUND(L13*'总览'!$B$11,0)</x:f>
        <x:v>1155</x:v>
      </x:c>
      <x:c r="N13" s="97" t="n">
        <x:v>45</x:v>
      </x:c>
      <x:c r="O13" s="96" t="n">
        <x:f>IF(I13=0,0,M13/I13)</x:f>
        <x:v>1155</x:v>
      </x:c>
      <x:c r="P13" s="75" t="str">
        <x:v>穿透高级；伤害倍率 1.00；60 发/格</x:v>
      </x:c>
      <x:c r="Q13" s="75" t="str">
        <x:v>AmmoTools.cs / AmmoData</x:v>
      </x:c>
      <x:c r="R13" s="75" t="str">
        <x:v>与 M4A1 弹药同属 Rifle，需解决混堆与误消耗。</x:v>
      </x:c>
    </x:row>
    <x:row r="14" ht="50" customHeight="1">
      <x:c r="A14" s="83" t="n">
        <x:v>2006</x:v>
      </x:c>
      <x:c r="B14" s="83" t="str">
        <x:v>AMO-DMR-H</x:v>
      </x:c>
      <x:c r="C14" s="77" t="str">
        <x:v>弹药</x:v>
      </x:c>
      <x:c r="D14" s="77" t="str">
        <x:v>SVD / 高级</x:v>
      </x:c>
      <x:c r="E14" s="77" t="str">
        <x:v>射手步枪弹药（高级）</x:v>
      </x:c>
      <x:c r="F14" s="83" t="str">
        <x:v>史诗</x:v>
      </x:c>
      <x:c r="G14" s="83" t="str">
        <x:v>部分实现</x:v>
      </x:c>
      <x:c r="H14" s="75" t="str">
        <x:v>SVD 使用的特级穿透弹药；基础伤害倍率 1.20。</x:v>
      </x:c>
      <x:c r="I14" s="87" t="n">
        <x:v>1</x:v>
      </x:c>
      <x:c r="J14" s="87" t="n">
        <x:v>60</x:v>
      </x:c>
      <x:c r="K14" s="91" t="n">
        <x:v>1.44</x:v>
      </x:c>
      <x:c r="L14" s="95" t="n">
        <x:v>9600</x:v>
      </x:c>
      <x:c r="M14" s="96" t="n">
        <x:f>ROUND(L14*'总览'!$B$11,0)</x:f>
        <x:v>3360</x:v>
      </x:c>
      <x:c r="N14" s="97" t="n">
        <x:v>10</x:v>
      </x:c>
      <x:c r="O14" s="96" t="n">
        <x:f>IF(I14=0,0,M14/I14)</x:f>
        <x:v>3360</x:v>
      </x:c>
      <x:c r="P14" s="75" t="str">
        <x:v>穿透特级；伤害倍率 1.20；60 发/格</x:v>
      </x:c>
      <x:c r="Q14" s="75" t="str">
        <x:v>AmmoTools.cs / AmmoData</x:v>
      </x:c>
      <x:c r="R14" s="75" t="str">
        <x:v>最高穿透、最高单发价值；应限制掉落与商店购买量。</x:v>
      </x:c>
    </x:row>
    <x:row r="15" ht="50" customHeight="1">
      <x:c r="A15" s="83" t="n">
        <x:v>2007</x:v>
      </x:c>
      <x:c r="B15" s="83" t="str">
        <x:v>AMO-SG-L</x:v>
      </x:c>
      <x:c r="C15" s="77" t="str">
        <x:v>弹药</x:v>
      </x:c>
      <x:c r="D15" s="77" t="str">
        <x:v>AA12 / 低级</x:v>
      </x:c>
      <x:c r="E15" s="77" t="str">
        <x:v>连发霰弹枪弹药（低级）</x:v>
      </x:c>
      <x:c r="F15" s="83" t="str">
        <x:v>普通</x:v>
      </x:c>
      <x:c r="G15" s="83" t="str">
        <x:v>已实现</x:v>
      </x:c>
      <x:c r="H15" s="75" t="str">
        <x:v>AA12 使用的低级穿透弹药；单次扳机发射 6 颗弹丸。</x:v>
      </x:c>
      <x:c r="I15" s="87" t="n">
        <x:v>1</x:v>
      </x:c>
      <x:c r="J15" s="87" t="n">
        <x:v>60</x:v>
      </x:c>
      <x:c r="K15" s="91" t="n">
        <x:v>1.2</x:v>
      </x:c>
      <x:c r="L15" s="95" t="n">
        <x:v>1920</x:v>
      </x:c>
      <x:c r="M15" s="96" t="n">
        <x:f>ROUND(L15*'总览'!$B$11,0)</x:f>
        <x:v>672</x:v>
      </x:c>
      <x:c r="N15" s="97" t="n">
        <x:v>80</x:v>
      </x:c>
      <x:c r="O15" s="96" t="n">
        <x:f>IF(I15=0,0,M15/I15)</x:f>
        <x:v>672</x:v>
      </x:c>
      <x:c r="P15" s="75" t="str">
        <x:v>穿透低级；伤害倍率 1.00；60 发/格</x:v>
      </x:c>
      <x:c r="Q15" s="75" t="str">
        <x:v>AmmoTools.cs / AmmoData</x:v>
      </x:c>
      <x:c r="R15" s="75" t="str">
        <x:v>表中伤害按 6 颗弹丸全部命中计算。</x:v>
      </x:c>
    </x:row>
    <x:row r="16" ht="50" customHeight="1">
      <x:c r="A16" s="83" t="n">
        <x:v>2008</x:v>
      </x:c>
      <x:c r="B16" s="83" t="str">
        <x:v>AMO-SG-H</x:v>
      </x:c>
      <x:c r="C16" s="77" t="str">
        <x:v>弹药</x:v>
      </x:c>
      <x:c r="D16" s="77" t="str">
        <x:v>AA12 / 高级</x:v>
      </x:c>
      <x:c r="E16" s="77" t="str">
        <x:v>连发霰弹枪弹药（高级）</x:v>
      </x:c>
      <x:c r="F16" s="83" t="str">
        <x:v>稀有</x:v>
      </x:c>
      <x:c r="G16" s="83" t="str">
        <x:v>已实现</x:v>
      </x:c>
      <x:c r="H16" s="75" t="str">
        <x:v>AA12 使用的中级穿透弹药；基础伤害倍率 1.10。</x:v>
      </x:c>
      <x:c r="I16" s="87" t="n">
        <x:v>1</x:v>
      </x:c>
      <x:c r="J16" s="87" t="n">
        <x:v>60</x:v>
      </x:c>
      <x:c r="K16" s="91" t="n">
        <x:v>1.3199999999999998</x:v>
      </x:c>
      <x:c r="L16" s="95" t="n">
        <x:v>5400</x:v>
      </x:c>
      <x:c r="M16" s="96" t="n">
        <x:f>ROUND(L16*'总览'!$B$11,0)</x:f>
        <x:v>1890</x:v>
      </x:c>
      <x:c r="N16" s="97" t="n">
        <x:v>24</x:v>
      </x:c>
      <x:c r="O16" s="96" t="n">
        <x:f>IF(I16=0,0,M16/I16)</x:f>
        <x:v>1890</x:v>
      </x:c>
      <x:c r="P16" s="75" t="str">
        <x:v>穿透中级；伤害倍率 1.10；60 发/格</x:v>
      </x:c>
      <x:c r="Q16" s="75" t="str">
        <x:v>AmmoTools.cs / AmmoData</x:v>
      </x:c>
      <x:c r="R16" s="75" t="str">
        <x:v>极近距离全中爆发很高，需以射程与散布限制。</x:v>
      </x:c>
    </x:row>
    <x:row r="17" ht="50" customHeight="1">
      <x:c r="A17" s="83" t="n">
        <x:v>2009</x:v>
      </x:c>
      <x:c r="B17" s="83" t="str">
        <x:v>AMO-LMG-L</x:v>
      </x:c>
      <x:c r="C17" s="77" t="str">
        <x:v>弹药</x:v>
      </x:c>
      <x:c r="D17" s="77" t="str">
        <x:v>PKM / 低级</x:v>
      </x:c>
      <x:c r="E17" s="77" t="str">
        <x:v>轻机枪弹药（低级）</x:v>
      </x:c>
      <x:c r="F17" s="83" t="str">
        <x:v>优良</x:v>
      </x:c>
      <x:c r="G17" s="83" t="str">
        <x:v>已实现</x:v>
      </x:c>
      <x:c r="H17" s="75" t="str">
        <x:v>PKM 使用的中级穿透弹药；基础伤害倍率 1.00。</x:v>
      </x:c>
      <x:c r="I17" s="87" t="n">
        <x:v>1</x:v>
      </x:c>
      <x:c r="J17" s="87" t="n">
        <x:v>60</x:v>
      </x:c>
      <x:c r="K17" s="91" t="n">
        <x:v>1.44</x:v>
      </x:c>
      <x:c r="L17" s="95" t="n">
        <x:v>1080</x:v>
      </x:c>
      <x:c r="M17" s="96" t="n">
        <x:f>ROUND(L17*'总览'!$B$11,0)</x:f>
        <x:v>378</x:v>
      </x:c>
      <x:c r="N17" s="97" t="n">
        <x:v>65</x:v>
      </x:c>
      <x:c r="O17" s="96" t="n">
        <x:f>IF(I17=0,0,M17/I17)</x:f>
        <x:v>378</x:v>
      </x:c>
      <x:c r="P17" s="75" t="str">
        <x:v>穿透中级；伤害倍率 1.00；60 发/格</x:v>
      </x:c>
      <x:c r="Q17" s="75" t="str">
        <x:v>AmmoTools.cs / AmmoData</x:v>
      </x:c>
      <x:c r="R17" s="75" t="str">
        <x:v>60 发满堆不足一次完整 100 发换弹，建议保留以形成补给压力。</x:v>
      </x:c>
    </x:row>
    <x:row r="18" ht="50" customHeight="1">
      <x:c r="A18" s="83" t="n">
        <x:v>2010</x:v>
      </x:c>
      <x:c r="B18" s="83" t="str">
        <x:v>AMO-LMG-H</x:v>
      </x:c>
      <x:c r="C18" s="77" t="str">
        <x:v>弹药</x:v>
      </x:c>
      <x:c r="D18" s="77" t="str">
        <x:v>PKM / 高级</x:v>
      </x:c>
      <x:c r="E18" s="77" t="str">
        <x:v>轻机枪弹药（高级）</x:v>
      </x:c>
      <x:c r="F18" s="83" t="str">
        <x:v>史诗</x:v>
      </x:c>
      <x:c r="G18" s="83" t="str">
        <x:v>已实现</x:v>
      </x:c>
      <x:c r="H18" s="75" t="str">
        <x:v>PKM 使用的高级穿透弹药；基础伤害倍率 1.15。</x:v>
      </x:c>
      <x:c r="I18" s="87" t="n">
        <x:v>1</x:v>
      </x:c>
      <x:c r="J18" s="87" t="n">
        <x:v>60</x:v>
      </x:c>
      <x:c r="K18" s="91" t="n">
        <x:v>1.5599999999999998</x:v>
      </x:c>
      <x:c r="L18" s="95" t="n">
        <x:v>3300</x:v>
      </x:c>
      <x:c r="M18" s="96" t="n">
        <x:f>ROUND(L18*'总览'!$B$11,0)</x:f>
        <x:v>1155</x:v>
      </x:c>
      <x:c r="N18" s="97" t="n">
        <x:v>18</x:v>
      </x:c>
      <x:c r="O18" s="96" t="n">
        <x:f>IF(I18=0,0,M18/I18)</x:f>
        <x:v>1155</x:v>
      </x:c>
      <x:c r="P18" s="75" t="str">
        <x:v>穿透高级；伤害倍率 1.15；60 发/格</x:v>
      </x:c>
      <x:c r="Q18" s="75" t="str">
        <x:v>AmmoTools.cs / AmmoData</x:v>
      </x:c>
      <x:c r="R18" s="75" t="str">
        <x:v>持续输出能力强，建议限制单局高级弹总量。</x:v>
      </x:c>
    </x:row>
    <x:row r="19" ht="50" customHeight="1">
      <x:c r="A19" s="83" t="n">
        <x:v>2011</x:v>
      </x:c>
      <x:c r="B19" s="83" t="str">
        <x:v>AMO-PST-L</x:v>
      </x:c>
      <x:c r="C19" s="77" t="str">
        <x:v>弹药</x:v>
      </x:c>
      <x:c r="D19" s="77" t="str">
        <x:v>G18C / 低级</x:v>
      </x:c>
      <x:c r="E19" s="77" t="str">
        <x:v>自动手枪弹药（低级）</x:v>
      </x:c>
      <x:c r="F19" s="83" t="str">
        <x:v>普通</x:v>
      </x:c>
      <x:c r="G19" s="83" t="str">
        <x:v>未接入</x:v>
      </x:c>
      <x:c r="H19" s="75" t="str">
        <x:v>G18C 独立低级弹药候选；基础伤害倍率 1.00。</x:v>
      </x:c>
      <x:c r="I19" s="87" t="n">
        <x:v>1</x:v>
      </x:c>
      <x:c r="J19" s="87" t="n">
        <x:v>60</x:v>
      </x:c>
      <x:c r="K19" s="91" t="n">
        <x:v>0.6599999999999999</x:v>
      </x:c>
      <x:c r="L19" s="95" t="n">
        <x:v>600</x:v>
      </x:c>
      <x:c r="M19" s="96" t="n">
        <x:f>ROUND(L19*'总览'!$B$11,0)</x:f>
        <x:v>210</x:v>
      </x:c>
      <x:c r="N19" s="97" t="n">
        <x:v>0</x:v>
      </x:c>
      <x:c r="O19" s="96" t="n">
        <x:f>IF(I19=0,0,M19/I19)</x:f>
        <x:v>210</x:v>
      </x:c>
      <x:c r="P19" s="75" t="str">
        <x:v>穿透低级；伤害倍率 1.00；60 发/格</x:v>
      </x:c>
      <x:c r="Q19" s="75" t="str">
        <x:v>AmmoTools.cs / AmmoData</x:v>
      </x:c>
      <x:c r="R19" s="75" t="str">
        <x:v>G18C 当前 ammoType=SMG，且该 AmmoDef 未绑定任何武器；建议删除或正式拆分。</x:v>
      </x:c>
    </x:row>
    <x:row r="20" ht="50" customHeight="1">
      <x:c r="A20" s="83" t="n">
        <x:v>2012</x:v>
      </x:c>
      <x:c r="B20" s="83" t="str">
        <x:v>AMO-PST-H</x:v>
      </x:c>
      <x:c r="C20" s="77" t="str">
        <x:v>弹药</x:v>
      </x:c>
      <x:c r="D20" s="77" t="str">
        <x:v>G18C / 高级</x:v>
      </x:c>
      <x:c r="E20" s="77" t="str">
        <x:v>自动手枪弹药（高级）</x:v>
      </x:c>
      <x:c r="F20" s="83" t="str">
        <x:v>稀有</x:v>
      </x:c>
      <x:c r="G20" s="83" t="str">
        <x:v>未接入</x:v>
      </x:c>
      <x:c r="H20" s="75" t="str">
        <x:v>G18C 独立中级穿透弹药候选；基础伤害倍率 1.05。</x:v>
      </x:c>
      <x:c r="I20" s="87" t="n">
        <x:v>1</x:v>
      </x:c>
      <x:c r="J20" s="87" t="n">
        <x:v>60</x:v>
      </x:c>
      <x:c r="K20" s="91" t="n">
        <x:v>0.72</x:v>
      </x:c>
      <x:c r="L20" s="95" t="n">
        <x:v>1800</x:v>
      </x:c>
      <x:c r="M20" s="96" t="n">
        <x:f>ROUND(L20*'总览'!$B$11,0)</x:f>
        <x:v>630</x:v>
      </x:c>
      <x:c r="N20" s="97" t="n">
        <x:v>0</x:v>
      </x:c>
      <x:c r="O20" s="96" t="n">
        <x:f>IF(I20=0,0,M20/I20)</x:f>
        <x:v>630</x:v>
      </x:c>
      <x:c r="P20" s="75" t="str">
        <x:v>穿透中级；伤害倍率 1.05；60 发/格</x:v>
      </x:c>
      <x:c r="Q20" s="75" t="str">
        <x:v>AmmoTools.cs / AmmoData</x:v>
      </x:c>
      <x:c r="R20" s="75" t="str">
        <x:v>若继续与 MP7 共用弹药，应移除此行，避免污染掉落池。</x:v>
      </x:c>
    </x:row>
    <x:row r="21" ht="50" customHeight="1">
      <x:c r="A21" s="83" t="n">
        <x:v>3001</x:v>
      </x:c>
      <x:c r="B21" s="83" t="str">
        <x:v>REP-01</x:v>
      </x:c>
      <x:c r="C21" s="77" t="str">
        <x:v>维修</x:v>
      </x:c>
      <x:c r="D21" s="77" t="str">
        <x:v>维修</x:v>
      </x:c>
      <x:c r="E21" s="77" t="str">
        <x:v>低级护甲维修包</x:v>
      </x:c>
      <x:c r="F21" s="83" t="str">
        <x:v>普通</x:v>
      </x:c>
      <x:c r="G21" s="83" t="str">
        <x:v>部分实现</x:v>
      </x:c>
      <x:c r="H21" s="75" t="str">
        <x:v>3.0 秒恢复低级护甲 50% 最大耐久，使用后销毁。</x:v>
      </x:c>
      <x:c r="I21" s="87" t="n">
        <x:v>2</x:v>
      </x:c>
      <x:c r="J21" s="87" t="n">
        <x:v>1</x:v>
      </x:c>
      <x:c r="K21" s="91" t="n">
        <x:v>1.2</x:v>
      </x:c>
      <x:c r="L21" s="95" t="n">
        <x:v>1200</x:v>
      </x:c>
      <x:c r="M21" s="96" t="n">
        <x:f>ROUND(L21*'总览'!$B$11,0)</x:f>
        <x:v>420</x:v>
      </x:c>
      <x:c r="N21" s="97" t="n">
        <x:v>70</x:v>
      </x:c>
      <x:c r="O21" s="96" t="n">
        <x:f>IF(I21=0,0,M21/I21)</x:f>
        <x:v>210</x:v>
      </x:c>
      <x:c r="P21" s="75" t="str">
        <x:v>修复 50%；3.0 秒；1 次</x:v>
      </x:c>
      <x:c r="Q21" s="75" t="str">
        <x:v>ArmorDataCreator.cs / Basic</x:v>
      </x:c>
      <x:c r="R21" s="75" t="str">
        <x:v>代码已有等级与使用时间；库存消耗流程仍需接入。</x:v>
      </x:c>
    </x:row>
    <x:row r="22" ht="50" customHeight="1">
      <x:c r="A22" s="83" t="n">
        <x:v>3002</x:v>
      </x:c>
      <x:c r="B22" s="83" t="str">
        <x:v>REP-02</x:v>
      </x:c>
      <x:c r="C22" s="77" t="str">
        <x:v>维修</x:v>
      </x:c>
      <x:c r="D22" s="77" t="str">
        <x:v>维修</x:v>
      </x:c>
      <x:c r="E22" s="77" t="str">
        <x:v>中级护甲维修包</x:v>
      </x:c>
      <x:c r="F22" s="83" t="str">
        <x:v>优良</x:v>
      </x:c>
      <x:c r="G22" s="83" t="str">
        <x:v>部分实现</x:v>
      </x:c>
      <x:c r="H22" s="75" t="str">
        <x:v>4.0 秒恢复最高中级护甲 50% 最大耐久，使用后销毁。</x:v>
      </x:c>
      <x:c r="I22" s="87" t="n">
        <x:v>3</x:v>
      </x:c>
      <x:c r="J22" s="87" t="n">
        <x:v>1</x:v>
      </x:c>
      <x:c r="K22" s="91" t="n">
        <x:v>2</x:v>
      </x:c>
      <x:c r="L22" s="95" t="n">
        <x:v>3000</x:v>
      </x:c>
      <x:c r="M22" s="96" t="n">
        <x:f>ROUND(L22*'总览'!$B$11,0)</x:f>
        <x:v>1050</x:v>
      </x:c>
      <x:c r="N22" s="97" t="n">
        <x:v>35</x:v>
      </x:c>
      <x:c r="O22" s="96" t="n">
        <x:f>IF(I22=0,0,M22/I22)</x:f>
        <x:v>350</x:v>
      </x:c>
      <x:c r="P22" s="75" t="str">
        <x:v>修复 50%；4.0 秒；1 次</x:v>
      </x:c>
      <x:c r="Q22" s="75" t="str">
        <x:v>ArmorDataCreator.cs / Advanced</x:v>
      </x:c>
      <x:c r="R22" s="75" t="str">
        <x:v>规范用户文字中的“修维”为“维修”。</x:v>
      </x:c>
    </x:row>
    <x:row r="23" ht="50" customHeight="1">
      <x:c r="A23" s="83" t="n">
        <x:v>3003</x:v>
      </x:c>
      <x:c r="B23" s="83" t="str">
        <x:v>REP-03</x:v>
      </x:c>
      <x:c r="C23" s="77" t="str">
        <x:v>维修</x:v>
      </x:c>
      <x:c r="D23" s="77" t="str">
        <x:v>维修</x:v>
      </x:c>
      <x:c r="E23" s="77" t="str">
        <x:v>高级护甲维修包</x:v>
      </x:c>
      <x:c r="F23" s="83" t="str">
        <x:v>稀有</x:v>
      </x:c>
      <x:c r="G23" s="83" t="str">
        <x:v>部分实现</x:v>
      </x:c>
      <x:c r="H23" s="75" t="str">
        <x:v>5.0 秒恢复最高高级护甲 50% 最大耐久，使用后销毁。</x:v>
      </x:c>
      <x:c r="I23" s="87" t="n">
        <x:v>4</x:v>
      </x:c>
      <x:c r="J23" s="87" t="n">
        <x:v>1</x:v>
      </x:c>
      <x:c r="K23" s="91" t="n">
        <x:v>3</x:v>
      </x:c>
      <x:c r="L23" s="95" t="n">
        <x:v>7500</x:v>
      </x:c>
      <x:c r="M23" s="96" t="n">
        <x:f>ROUND(L23*'总览'!$B$11,0)</x:f>
        <x:v>2625</x:v>
      </x:c>
      <x:c r="N23" s="97" t="n">
        <x:v>14</x:v>
      </x:c>
      <x:c r="O23" s="96" t="n">
        <x:f>IF(I23=0,0,M23/I23)</x:f>
        <x:v>656.25</x:v>
      </x:c>
      <x:c r="P23" s="75" t="str">
        <x:v>修复 50%；5.0 秒；1 次</x:v>
      </x:c>
      <x:c r="Q23" s="75" t="str">
        <x:v>ArmorDataCreator.cs / Elite</x:v>
      </x:c>
      <x:c r="R23" s="75" t="str">
        <x:v>代码名为“精英修维包”，本表按用户层级统一为“高级护甲维修包”。</x:v>
      </x:c>
    </x:row>
    <x:row r="24" ht="50" customHeight="1">
      <x:c r="A24" s="83" t="n">
        <x:v>3004</x:v>
      </x:c>
      <x:c r="B24" s="83" t="str">
        <x:v>REP-04</x:v>
      </x:c>
      <x:c r="C24" s="77" t="str">
        <x:v>维修</x:v>
      </x:c>
      <x:c r="D24" s="77" t="str">
        <x:v>维修</x:v>
      </x:c>
      <x:c r="E24" s="77" t="str">
        <x:v>特种维修套件</x:v>
      </x:c>
      <x:c r="F24" s="83" t="str">
        <x:v>传说</x:v>
      </x:c>
      <x:c r="G24" s="83" t="str">
        <x:v>未接入</x:v>
      </x:c>
      <x:c r="H24" s="75" t="str">
        <x:v>特级护甲专用；每次恢复 40% 最大耐久，共可使用 2 次。</x:v>
      </x:c>
      <x:c r="I24" s="87" t="n">
        <x:v>5</x:v>
      </x:c>
      <x:c r="J24" s="87" t="n">
        <x:v>1</x:v>
      </x:c>
      <x:c r="K24" s="91" t="n">
        <x:v>3.8</x:v>
      </x:c>
      <x:c r="L24" s="95" t="n">
        <x:v>16000</x:v>
      </x:c>
      <x:c r="M24" s="96" t="n">
        <x:f>ROUND(L24*'总览'!$B$11,0)</x:f>
        <x:v>5600</x:v>
      </x:c>
      <x:c r="N24" s="97" t="n">
        <x:v>3</x:v>
      </x:c>
      <x:c r="O24" s="96" t="n">
        <x:f>IF(I24=0,0,M24/I24)</x:f>
        <x:v>1120</x:v>
      </x:c>
      <x:c r="P24" s="75" t="str">
        <x:v>修复 40%；6.0 秒；2 次</x:v>
      </x:c>
      <x:c r="Q24" s="75" t="str">
        <x:v>RepairKit.cs / Special</x:v>
      </x:c>
      <x:c r="R24" s="75" t="str">
        <x:v>当前 CanRepair 对 Special 恒定返回 false；需要实现双次耐久与特级护甲白名单。</x:v>
      </x:c>
    </x:row>
    <x:row r="25" ht="50" customHeight="1">
      <x:c r="A25" s="83" t="n">
        <x:v>4001</x:v>
      </x:c>
      <x:c r="B25" s="83" t="str">
        <x:v>WPN-01</x:v>
      </x:c>
      <x:c r="C25" s="77" t="str">
        <x:v>武器</x:v>
      </x:c>
      <x:c r="D25" s="77" t="str">
        <x:v>全自动</x:v>
      </x:c>
      <x:c r="E25" s="77" t="str">
        <x:v>MP7</x:v>
      </x:c>
      <x:c r="F25" s="83" t="str">
        <x:v>优良</x:v>
      </x:c>
      <x:c r="G25" s="83" t="str">
        <x:v>已实现</x:v>
      </x:c>
      <x:c r="H25" s="75" t="str">
        <x:v>紧凑型个人防卫武器；近距离射速高、机动性强、后坐力小，但跨距离输出衰减明显。</x:v>
      </x:c>
      <x:c r="I25" s="87" t="n">
        <x:v>6</x:v>
      </x:c>
      <x:c r="J25" s="87" t="n">
        <x:v>1</x:v>
      </x:c>
      <x:c r="K25" s="91" t="n">
        <x:v>2.6</x:v>
      </x:c>
      <x:c r="L25" s="95" t="n">
        <x:v>14000</x:v>
      </x:c>
      <x:c r="M25" s="96" t="n">
        <x:f>ROUND(L25*'总览'!$B$11,0)</x:f>
        <x:v>4900</x:v>
      </x:c>
      <x:c r="N25" s="97" t="n">
        <x:v>55</x:v>
      </x:c>
      <x:c r="O25" s="96" t="n">
        <x:f>IF(I25=0,0,M25/I25)</x:f>
        <x:v>816.6666666666666</x:v>
      </x:c>
      <x:c r="P25" s="75" t="str">
        <x:v>14 伤害/扳机；750 RPM；12 射程</x:v>
      </x:c>
      <x:c r="Q25" s="75" t="str">
        <x:v>SMG.cs</x:v>
      </x:c>
      <x:c r="R25" s="75" t="str"/>
    </x:row>
    <x:row r="26" ht="50" customHeight="1">
      <x:c r="A26" s="83" t="n">
        <x:v>4002</x:v>
      </x:c>
      <x:c r="B26" s="83" t="str">
        <x:v>WPN-02</x:v>
      </x:c>
      <x:c r="C26" s="77" t="str">
        <x:v>武器</x:v>
      </x:c>
      <x:c r="D26" s="77" t="str">
        <x:v>全自动</x:v>
      </x:c>
      <x:c r="E26" s="77" t="str">
        <x:v>M4A1</x:v>
      </x:c>
      <x:c r="F26" s="83" t="str">
        <x:v>稀有</x:v>
      </x:c>
      <x:c r="G26" s="83" t="str">
        <x:v>已实现</x:v>
      </x:c>
      <x:c r="H26" s="75" t="str">
        <x:v>模块化卡宾枪；伤害、射速、精度与机动均衡，是中距离推进与团队主战的万金油。</x:v>
      </x:c>
      <x:c r="I26" s="87" t="n">
        <x:v>8</x:v>
      </x:c>
      <x:c r="J26" s="87" t="n">
        <x:v>1</x:v>
      </x:c>
      <x:c r="K26" s="91" t="n">
        <x:v>3.9</x:v>
      </x:c>
      <x:c r="L26" s="95" t="n">
        <x:v>22000</x:v>
      </x:c>
      <x:c r="M26" s="96" t="n">
        <x:f>ROUND(L26*'总览'!$B$11,0)</x:f>
        <x:v>7700</x:v>
      </x:c>
      <x:c r="N26" s="97" t="n">
        <x:v>38</x:v>
      </x:c>
      <x:c r="O26" s="96" t="n">
        <x:f>IF(I26=0,0,M26/I26)</x:f>
        <x:v>962.5</x:v>
      </x:c>
      <x:c r="P26" s="75" t="str">
        <x:v>20 伤害/扳机；462 RPM；25 射程</x:v>
      </x:c>
      <x:c r="Q26" s="75" t="str">
        <x:v>AssaultRifle.cs</x:v>
      </x:c>
      <x:c r="R26" s="75" t="str"/>
    </x:row>
    <x:row r="27" ht="50" customHeight="1">
      <x:c r="A27" s="83" t="n">
        <x:v>4003</x:v>
      </x:c>
      <x:c r="B27" s="83" t="str">
        <x:v>WPN-03</x:v>
      </x:c>
      <x:c r="C27" s="77" t="str">
        <x:v>武器</x:v>
      </x:c>
      <x:c r="D27" s="77" t="str">
        <x:v>半自动</x:v>
      </x:c>
      <x:c r="E27" s="77" t="str">
        <x:v>SVD</x:v>
      </x:c>
      <x:c r="F27" s="83" t="str">
        <x:v>史诗</x:v>
      </x:c>
      <x:c r="G27" s="83" t="str">
        <x:v>已实现</x:v>
      </x:c>
      <x:c r="H27" s="75" t="str">
        <x:v>半自动射手步枪；中远距离单发威力与穿透高，移动射击和近距离容错较低。</x:v>
      </x:c>
      <x:c r="I27" s="87" t="n">
        <x:v>9</x:v>
      </x:c>
      <x:c r="J27" s="87" t="n">
        <x:v>1</x:v>
      </x:c>
      <x:c r="K27" s="91" t="n">
        <x:v>5.4</x:v>
      </x:c>
      <x:c r="L27" s="95" t="n">
        <x:v>36000</x:v>
      </x:c>
      <x:c r="M27" s="96" t="n">
        <x:f>ROUND(L27*'总览'!$B$11,0)</x:f>
        <x:v>12600</x:v>
      </x:c>
      <x:c r="N27" s="97" t="n">
        <x:v>15</x:v>
      </x:c>
      <x:c r="O27" s="96" t="n">
        <x:f>IF(I27=0,0,M27/I27)</x:f>
        <x:v>1400</x:v>
      </x:c>
      <x:c r="P27" s="75" t="str">
        <x:v>45 伤害/扳机；300 RPM；40 射程</x:v>
      </x:c>
      <x:c r="Q27" s="75" t="str">
        <x:v>MarksmanRifle.cs</x:v>
      </x:c>
      <x:c r="R27" s="75" t="str"/>
    </x:row>
    <x:row r="28" ht="50" customHeight="1">
      <x:c r="A28" s="83" t="n">
        <x:v>4004</x:v>
      </x:c>
      <x:c r="B28" s="83" t="str">
        <x:v>WPN-04</x:v>
      </x:c>
      <x:c r="C28" s="77" t="str">
        <x:v>武器</x:v>
      </x:c>
      <x:c r="D28" s="77" t="str">
        <x:v>全自动</x:v>
      </x:c>
      <x:c r="E28" s="77" t="str">
        <x:v>AA12</x:v>
      </x:c>
      <x:c r="F28" s="83" t="str">
        <x:v>稀有</x:v>
      </x:c>
      <x:c r="G28" s="83" t="str">
        <x:v>已实现</x:v>
      </x:c>
      <x:c r="H28" s="75" t="str">
        <x:v>全自动霰弹枪；极近距离每发释放 6 颗弹丸，适合拐角突破与室内清点。</x:v>
      </x:c>
      <x:c r="I28" s="87" t="n">
        <x:v>7</x:v>
      </x:c>
      <x:c r="J28" s="87" t="n">
        <x:v>1</x:v>
      </x:c>
      <x:c r="K28" s="91" t="n">
        <x:v>4.5</x:v>
      </x:c>
      <x:c r="L28" s="95" t="n">
        <x:v>26000</x:v>
      </x:c>
      <x:c r="M28" s="96" t="n">
        <x:f>ROUND(L28*'总览'!$B$11,0)</x:f>
        <x:v>9100</x:v>
      </x:c>
      <x:c r="N28" s="97" t="n">
        <x:v>25</x:v>
      </x:c>
      <x:c r="O28" s="96" t="n">
        <x:f>IF(I28=0,0,M28/I28)</x:f>
        <x:v>1300</x:v>
      </x:c>
      <x:c r="P28" s="75" t="str">
        <x:v>72 伤害/扳机；240 RPM；8 射程</x:v>
      </x:c>
      <x:c r="Q28" s="75" t="str">
        <x:v>AutoShotgun.cs</x:v>
      </x:c>
      <x:c r="R28" s="75" t="str"/>
    </x:row>
    <x:row r="29" ht="50" customHeight="1">
      <x:c r="A29" s="83" t="n">
        <x:v>4005</x:v>
      </x:c>
      <x:c r="B29" s="83" t="str">
        <x:v>WPN-05</x:v>
      </x:c>
      <x:c r="C29" s="77" t="str">
        <x:v>武器</x:v>
      </x:c>
      <x:c r="D29" s="77" t="str">
        <x:v>全自动</x:v>
      </x:c>
      <x:c r="E29" s="77" t="str">
        <x:v>PKM</x:v>
      </x:c>
      <x:c r="F29" s="83" t="str">
        <x:v>史诗</x:v>
      </x:c>
      <x:c r="G29" s="83" t="str">
        <x:v>部分实现</x:v>
      </x:c>
      <x:c r="H29" s="75" t="str">
        <x:v>通用带式机枪；大弹容持续压制能力强，但换弹、移动和背包占用代价极高。</x:v>
      </x:c>
      <x:c r="I29" s="87" t="n">
        <x:v>10</x:v>
      </x:c>
      <x:c r="J29" s="87" t="n">
        <x:v>1</x:v>
      </x:c>
      <x:c r="K29" s="91" t="n">
        <x:v>8.6</x:v>
      </x:c>
      <x:c r="L29" s="95" t="n">
        <x:v>48000</x:v>
      </x:c>
      <x:c r="M29" s="96" t="n">
        <x:f>ROUND(L29*'总览'!$B$11,0)</x:f>
        <x:v>16800</x:v>
      </x:c>
      <x:c r="N29" s="97" t="n">
        <x:v>12</x:v>
      </x:c>
      <x:c r="O29" s="96" t="n">
        <x:f>IF(I29=0,0,M29/I29)</x:f>
        <x:v>1680</x:v>
      </x:c>
      <x:c r="P29" s="75" t="str">
        <x:v>18 伤害/扳机；600 RPM；28 射程</x:v>
      </x:c>
      <x:c r="Q29" s="75" t="str">
        <x:v>LMG.cs</x:v>
      </x:c>
      <x:c r="R29" s="75" t="str">
        <x:v>默认背包仅 9 格，当前 10 格占用会使其无法拾取。</x:v>
      </x:c>
    </x:row>
    <x:row r="30" ht="50" customHeight="1">
      <x:c r="A30" s="83" t="n">
        <x:v>4006</x:v>
      </x:c>
      <x:c r="B30" s="83" t="str">
        <x:v>WPN-06</x:v>
      </x:c>
      <x:c r="C30" s="77" t="str">
        <x:v>武器</x:v>
      </x:c>
      <x:c r="D30" s="77" t="str">
        <x:v>全自动</x:v>
      </x:c>
      <x:c r="E30" s="77" t="str">
        <x:v>G18C</x:v>
      </x:c>
      <x:c r="F30" s="83" t="str">
        <x:v>普通</x:v>
      </x:c>
      <x:c r="G30" s="83" t="str">
        <x:v>已实现</x:v>
      </x:c>
      <x:c r="H30" s="75" t="str">
        <x:v>可全自动射击的机器手枪；极近距离射速与机动性极高，并与 MP7 共用 SMG 弹药。</x:v>
      </x:c>
      <x:c r="I30" s="87" t="n">
        <x:v>2</x:v>
      </x:c>
      <x:c r="J30" s="87" t="n">
        <x:v>1</x:v>
      </x:c>
      <x:c r="K30" s="91" t="n">
        <x:v>1.4</x:v>
      </x:c>
      <x:c r="L30" s="95" t="n">
        <x:v>8000</x:v>
      </x:c>
      <x:c r="M30" s="96" t="n">
        <x:f>ROUND(L30*'总览'!$B$11,0)</x:f>
        <x:v>2800</x:v>
      </x:c>
      <x:c r="N30" s="97" t="n">
        <x:v>70</x:v>
      </x:c>
      <x:c r="O30" s="96" t="n">
        <x:f>IF(I30=0,0,M30/I30)</x:f>
        <x:v>1400</x:v>
      </x:c>
      <x:c r="P30" s="75" t="str">
        <x:v>9 伤害/扳机；1200 RPM；10 射程</x:v>
      </x:c>
      <x:c r="Q30" s="75" t="str">
        <x:v>AutoPistol.cs</x:v>
      </x:c>
      <x:c r="R30" s="75" t="str"/>
    </x:row>
    <x:row r="31" ht="50" customHeight="1">
      <x:c r="A31" s="83" t="n">
        <x:v>4007</x:v>
      </x:c>
      <x:c r="B31" s="83" t="str">
        <x:v>WPN-07</x:v>
      </x:c>
      <x:c r="C31" s="77" t="str">
        <x:v>武器</x:v>
      </x:c>
      <x:c r="D31" s="77" t="str">
        <x:v>半自动近战</x:v>
      </x:c>
      <x:c r="E31" s="77" t="str">
        <x:v>战术匕首</x:v>
      </x:c>
      <x:c r="F31" s="83" t="str">
        <x:v>普通</x:v>
      </x:c>
      <x:c r="G31" s="83" t="str">
        <x:v>已实现</x:v>
      </x:c>
      <x:c r="H31" s="75" t="str">
        <x:v>无弹药近战武器；90° 扇形攻击、最多命中 2 个目标，护甲仅提供一半吸收效果。</x:v>
      </x:c>
      <x:c r="I31" s="87" t="n">
        <x:v>1</x:v>
      </x:c>
      <x:c r="J31" s="87" t="n">
        <x:v>1</x:v>
      </x:c>
      <x:c r="K31" s="91" t="n">
        <x:v>0.6</x:v>
      </x:c>
      <x:c r="L31" s="95" t="n">
        <x:v>1500</x:v>
      </x:c>
      <x:c r="M31" s="96" t="n">
        <x:f>ROUND(L31*'总览'!$B$11,0)</x:f>
        <x:v>525</x:v>
      </x:c>
      <x:c r="N31" s="97" t="n">
        <x:v>100</x:v>
      </x:c>
      <x:c r="O31" s="96" t="n">
        <x:f>IF(I31=0,0,M31/I31)</x:f>
        <x:v>525</x:v>
      </x:c>
      <x:c r="P31" s="75" t="str">
        <x:v>35 伤害/扳机；133 RPM；1.5 射程</x:v>
      </x:c>
      <x:c r="Q31" s="75" t="str">
        <x:v>Knife.cs</x:v>
      </x:c>
      <x:c r="R31" s="75" t="str"/>
    </x:row>
    <x:row r="32" ht="50" customHeight="1">
      <x:c r="A32" s="83" t="n">
        <x:v>5001</x:v>
      </x:c>
      <x:c r="B32" s="83" t="str">
        <x:v>ARM-L1-L</x:v>
      </x:c>
      <x:c r="C32" s="77" t="str">
        <x:v>护甲</x:v>
      </x:c>
      <x:c r="D32" s="77" t="str">
        <x:v>低级/轻型</x:v>
      </x:c>
      <x:c r="E32" s="77" t="str">
        <x:v>低级护甲（轻型）</x:v>
      </x:c>
      <x:c r="F32" s="83" t="str">
        <x:v>普通</x:v>
      </x:c>
      <x:c r="G32" s="83" t="str">
        <x:v>已实现</x:v>
      </x:c>
      <x:c r="H32" s="75" t="str">
        <x:v>轻量入门防护；耐久较低，仅造成 3% 移速惩罚。</x:v>
      </x:c>
      <x:c r="I32" s="87" t="n">
        <x:v>4</x:v>
      </x:c>
      <x:c r="J32" s="87" t="n">
        <x:v>1</x:v>
      </x:c>
      <x:c r="K32" s="91" t="n">
        <x:v>3</x:v>
      </x:c>
      <x:c r="L32" s="95" t="n">
        <x:v>6500</x:v>
      </x:c>
      <x:c r="M32" s="96" t="n">
        <x:f>ROUND(L32*'总览'!$B$11,0)</x:f>
        <x:v>2275</x:v>
      </x:c>
      <x:c r="N32" s="97" t="n">
        <x:v>80</x:v>
      </x:c>
      <x:c r="O32" s="96" t="n">
        <x:f>IF(I32=0,0,M32/I32)</x:f>
        <x:v>568.75</x:v>
      </x:c>
      <x:c r="P32" s="75" t="str">
        <x:v>60 耐久；45% 满耐久吸收；移速×0.97</x:v>
      </x:c>
      <x:c r="Q32" s="75" t="str">
        <x:v>ArmorDataCreator.cs / ArmorData</x:v>
      </x:c>
      <x:c r="R32" s="75" t="str"/>
    </x:row>
    <x:row r="33" ht="50" customHeight="1">
      <x:c r="A33" s="83" t="n">
        <x:v>5002</x:v>
      </x:c>
      <x:c r="B33" s="83" t="str">
        <x:v>ARM-L1-H</x:v>
      </x:c>
      <x:c r="C33" s="77" t="str">
        <x:v>护甲</x:v>
      </x:c>
      <x:c r="D33" s="77" t="str">
        <x:v>低级/重型</x:v>
      </x:c>
      <x:c r="E33" s="77" t="str">
        <x:v>低级护甲（重型）</x:v>
      </x:c>
      <x:c r="F33" s="83" t="str">
        <x:v>优良</x:v>
      </x:c>
      <x:c r="G33" s="83" t="str">
        <x:v>已实现</x:v>
      </x:c>
      <x:c r="H33" s="75" t="str">
        <x:v>低级重甲；以更高耐久换取 8% 步行与 10% 奔跑惩罚。</x:v>
      </x:c>
      <x:c r="I33" s="87" t="n">
        <x:v>6</x:v>
      </x:c>
      <x:c r="J33" s="87" t="n">
        <x:v>1</x:v>
      </x:c>
      <x:c r="K33" s="91" t="n">
        <x:v>5.5</x:v>
      </x:c>
      <x:c r="L33" s="95" t="n">
        <x:v>9000</x:v>
      </x:c>
      <x:c r="M33" s="96" t="n">
        <x:f>ROUND(L33*'总览'!$B$11,0)</x:f>
        <x:v>3150</x:v>
      </x:c>
      <x:c r="N33" s="97" t="n">
        <x:v>65</x:v>
      </x:c>
      <x:c r="O33" s="96" t="n">
        <x:f>IF(I33=0,0,M33/I33)</x:f>
        <x:v>525</x:v>
      </x:c>
      <x:c r="P33" s="75" t="str">
        <x:v>100 耐久；50% 满耐久吸收；移速×0.92</x:v>
      </x:c>
      <x:c r="Q33" s="75" t="str">
        <x:v>ArmorDataCreator.cs / ArmorData</x:v>
      </x:c>
      <x:c r="R33" s="75" t="str"/>
    </x:row>
    <x:row r="34" ht="50" customHeight="1">
      <x:c r="A34" s="83" t="n">
        <x:v>5003</x:v>
      </x:c>
      <x:c r="B34" s="83" t="str">
        <x:v>ARM-L2-L</x:v>
      </x:c>
      <x:c r="C34" s="77" t="str">
        <x:v>护甲</x:v>
      </x:c>
      <x:c r="D34" s="77" t="str">
        <x:v>中级/轻型</x:v>
      </x:c>
      <x:c r="E34" s="77" t="str">
        <x:v>中级护甲（轻型）</x:v>
      </x:c>
      <x:c r="F34" s="83" t="str">
        <x:v>优良</x:v>
      </x:c>
      <x:c r="G34" s="83" t="str">
        <x:v>已实现</x:v>
      </x:c>
      <x:c r="H34" s="75" t="str">
        <x:v>中级轻甲；吸收率明显提高，保持较好的推进机动性。</x:v>
      </x:c>
      <x:c r="I34" s="87" t="n">
        <x:v>5</x:v>
      </x:c>
      <x:c r="J34" s="87" t="n">
        <x:v>1</x:v>
      </x:c>
      <x:c r="K34" s="91" t="n">
        <x:v>4</x:v>
      </x:c>
      <x:c r="L34" s="95" t="n">
        <x:v>15000</x:v>
      </x:c>
      <x:c r="M34" s="96" t="n">
        <x:f>ROUND(L34*'总览'!$B$11,0)</x:f>
        <x:v>5250</x:v>
      </x:c>
      <x:c r="N34" s="97" t="n">
        <x:v>42</x:v>
      </x:c>
      <x:c r="O34" s="96" t="n">
        <x:f>IF(I34=0,0,M34/I34)</x:f>
        <x:v>1050</x:v>
      </x:c>
      <x:c r="P34" s="75" t="str">
        <x:v>80 耐久；60% 满耐久吸收；移速×0.94</x:v>
      </x:c>
      <x:c r="Q34" s="75" t="str">
        <x:v>ArmorDataCreator.cs / ArmorData</x:v>
      </x:c>
      <x:c r="R34" s="75" t="str"/>
    </x:row>
    <x:row r="35" ht="50" customHeight="1">
      <x:c r="A35" s="83" t="n">
        <x:v>5004</x:v>
      </x:c>
      <x:c r="B35" s="83" t="str">
        <x:v>ARM-L2-H</x:v>
      </x:c>
      <x:c r="C35" s="77" t="str">
        <x:v>护甲</x:v>
      </x:c>
      <x:c r="D35" s="77" t="str">
        <x:v>中级/重型</x:v>
      </x:c>
      <x:c r="E35" s="77" t="str">
        <x:v>中级护甲（重型）</x:v>
      </x:c>
      <x:c r="F35" s="83" t="str">
        <x:v>稀有</x:v>
      </x:c>
      <x:c r="G35" s="83" t="str">
        <x:v>已实现</x:v>
      </x:c>
      <x:c r="H35" s="75" t="str">
        <x:v>中级重甲；较高耐久和维修次数，适合持续阵地战。</x:v>
      </x:c>
      <x:c r="I35" s="87" t="n">
        <x:v>8</x:v>
      </x:c>
      <x:c r="J35" s="87" t="n">
        <x:v>1</x:v>
      </x:c>
      <x:c r="K35" s="91" t="n">
        <x:v>7.5</x:v>
      </x:c>
      <x:c r="L35" s="95" t="n">
        <x:v>22000</x:v>
      </x:c>
      <x:c r="M35" s="96" t="n">
        <x:f>ROUND(L35*'总览'!$B$11,0)</x:f>
        <x:v>7700</x:v>
      </x:c>
      <x:c r="N35" s="97" t="n">
        <x:v>30</x:v>
      </x:c>
      <x:c r="O35" s="96" t="n">
        <x:f>IF(I35=0,0,M35/I35)</x:f>
        <x:v>962.5</x:v>
      </x:c>
      <x:c r="P35" s="75" t="str">
        <x:v>130 耐久；65% 满耐久吸收；移速×0.87</x:v>
      </x:c>
      <x:c r="Q35" s="75" t="str">
        <x:v>ArmorDataCreator.cs / ArmorData</x:v>
      </x:c>
      <x:c r="R35" s="75" t="str"/>
    </x:row>
    <x:row r="36" ht="50" customHeight="1">
      <x:c r="A36" s="83" t="n">
        <x:v>5005</x:v>
      </x:c>
      <x:c r="B36" s="83" t="str">
        <x:v>ARM-L3-L</x:v>
      </x:c>
      <x:c r="C36" s="77" t="str">
        <x:v>护甲</x:v>
      </x:c>
      <x:c r="D36" s="77" t="str">
        <x:v>高级/轻型</x:v>
      </x:c>
      <x:c r="E36" s="77" t="str">
        <x:v>高级护甲（轻型）</x:v>
      </x:c>
      <x:c r="F36" s="83" t="str">
        <x:v>稀有</x:v>
      </x:c>
      <x:c r="G36" s="83" t="str">
        <x:v>已实现</x:v>
      </x:c>
      <x:c r="H36" s="75" t="str">
        <x:v>高级轻甲；在高防护下仍保留可接受机动，但成本较高。</x:v>
      </x:c>
      <x:c r="I36" s="87" t="n">
        <x:v>7</x:v>
      </x:c>
      <x:c r="J36" s="87" t="n">
        <x:v>1</x:v>
      </x:c>
      <x:c r="K36" s="91" t="n">
        <x:v>6</x:v>
      </x:c>
      <x:c r="L36" s="95" t="n">
        <x:v>35000</x:v>
      </x:c>
      <x:c r="M36" s="96" t="n">
        <x:f>ROUND(L36*'总览'!$B$11,0)</x:f>
        <x:v>12250</x:v>
      </x:c>
      <x:c r="N36" s="97" t="n">
        <x:v>18</x:v>
      </x:c>
      <x:c r="O36" s="96" t="n">
        <x:f>IF(I36=0,0,M36/I36)</x:f>
        <x:v>1750</x:v>
      </x:c>
      <x:c r="P36" s="75" t="str">
        <x:v>110 耐久；72% 满耐久吸收；移速×0.88</x:v>
      </x:c>
      <x:c r="Q36" s="75" t="str">
        <x:v>ArmorDataCreator.cs / ArmorData</x:v>
      </x:c>
      <x:c r="R36" s="75" t="str"/>
    </x:row>
    <x:row r="37" ht="50" customHeight="1">
      <x:c r="A37" s="83" t="n">
        <x:v>5006</x:v>
      </x:c>
      <x:c r="B37" s="83" t="str">
        <x:v>ARM-L3-H</x:v>
      </x:c>
      <x:c r="C37" s="77" t="str">
        <x:v>护甲</x:v>
      </x:c>
      <x:c r="D37" s="77" t="str">
        <x:v>高级/重型</x:v>
      </x:c>
      <x:c r="E37" s="77" t="str">
        <x:v>高级护甲（重型）</x:v>
      </x:c>
      <x:c r="F37" s="83" t="str">
        <x:v>史诗</x:v>
      </x:c>
      <x:c r="G37" s="83" t="str">
        <x:v>部分实现</x:v>
      </x:c>
      <x:c r="H37" s="75" t="str">
        <x:v>高级重甲；极强持续承伤能力，付出显著移动与背包空间代价。</x:v>
      </x:c>
      <x:c r="I37" s="87" t="n">
        <x:v>10</x:v>
      </x:c>
      <x:c r="J37" s="87" t="n">
        <x:v>1</x:v>
      </x:c>
      <x:c r="K37" s="91" t="n">
        <x:v>11</x:v>
      </x:c>
      <x:c r="L37" s="95" t="n">
        <x:v>52000</x:v>
      </x:c>
      <x:c r="M37" s="96" t="n">
        <x:f>ROUND(L37*'总览'!$B$11,0)</x:f>
        <x:v>18200</x:v>
      </x:c>
      <x:c r="N37" s="97" t="n">
        <x:v>12</x:v>
      </x:c>
      <x:c r="O37" s="96" t="n">
        <x:f>IF(I37=0,0,M37/I37)</x:f>
        <x:v>1820</x:v>
      </x:c>
      <x:c r="P37" s="75" t="str">
        <x:v>180 耐久；78% 满耐久吸收；移速×0.78</x:v>
      </x:c>
      <x:c r="Q37" s="75" t="str">
        <x:v>ArmorDataCreator.cs / ArmorData</x:v>
      </x:c>
      <x:c r="R37" s="75" t="str">
        <x:v>默认 9 格背包无法放入 10 格物品。</x:v>
      </x:c>
    </x:row>
    <x:row r="38" ht="50" customHeight="1">
      <x:c r="A38" s="83" t="n">
        <x:v>5007</x:v>
      </x:c>
      <x:c r="B38" s="83" t="str">
        <x:v>ARM-L4-H</x:v>
      </x:c>
      <x:c r="C38" s="77" t="str">
        <x:v>护甲</x:v>
      </x:c>
      <x:c r="D38" s="77" t="str">
        <x:v>特级/重型</x:v>
      </x:c>
      <x:c r="E38" s="77" t="str">
        <x:v>复合重装</x:v>
      </x:c>
      <x:c r="F38" s="83" t="str">
        <x:v>传说</x:v>
      </x:c>
      <x:c r="G38" s="83" t="str">
        <x:v>部分实现</x:v>
      </x:c>
      <x:c r="H38" s="75" t="str">
        <x:v>特级复合重甲；耐久和吸收率极高，可无限维修，但几乎牺牲全部机动性。</x:v>
      </x:c>
      <x:c r="I38" s="87" t="n">
        <x:v>14</x:v>
      </x:c>
      <x:c r="J38" s="87" t="n">
        <x:v>1</x:v>
      </x:c>
      <x:c r="K38" s="91" t="n">
        <x:v>20</x:v>
      </x:c>
      <x:c r="L38" s="95" t="n">
        <x:v>90000</x:v>
      </x:c>
      <x:c r="M38" s="96" t="n">
        <x:f>ROUND(L38*'总览'!$B$11,0)</x:f>
        <x:v>31500</x:v>
      </x:c>
      <x:c r="N38" s="97" t="n">
        <x:v>3</x:v>
      </x:c>
      <x:c r="O38" s="96" t="n">
        <x:f>IF(I38=0,0,M38/I38)</x:f>
        <x:v>2250</x:v>
      </x:c>
      <x:c r="P38" s="75" t="str">
        <x:v>280 耐久；88% 满耐久吸收；移速×0.62</x:v>
      </x:c>
      <x:c r="Q38" s="75" t="str">
        <x:v>ArmorDataCreator.cs / ArmorData</x:v>
      </x:c>
      <x:c r="R38" s="75" t="str">
        <x:v>当前特种维修套件不可用，且默认背包无法容纳。</x:v>
      </x:c>
    </x:row>
    <x:row r="39" ht="50" customHeight="1">
      <x:c r="A39" s="83" t="n">
        <x:v>5008</x:v>
      </x:c>
      <x:c r="B39" s="83" t="str">
        <x:v>ARM-L4-L</x:v>
      </x:c>
      <x:c r="C39" s="77" t="str">
        <x:v>护甲</x:v>
      </x:c>
      <x:c r="D39" s="77" t="str">
        <x:v>特级/轻型</x:v>
      </x:c>
      <x:c r="E39" s="77" t="str">
        <x:v>定制轻装</x:v>
      </x:c>
      <x:c r="F39" s="83" t="str">
        <x:v>传说</x:v>
      </x:c>
      <x:c r="G39" s="83" t="str">
        <x:v>部分实现</x:v>
      </x:c>
      <x:c r="H39" s="75" t="str">
        <x:v>特级定制轻甲；以较低耐久换取近乎无惩罚的顶级防护与无限维修。</x:v>
      </x:c>
      <x:c r="I39" s="87" t="n">
        <x:v>8</x:v>
      </x:c>
      <x:c r="J39" s="87" t="n">
        <x:v>1</x:v>
      </x:c>
      <x:c r="K39" s="91" t="n">
        <x:v>7</x:v>
      </x:c>
      <x:c r="L39" s="95" t="n">
        <x:v>110000</x:v>
      </x:c>
      <x:c r="M39" s="96" t="n">
        <x:f>ROUND(L39*'总览'!$B$11,0)</x:f>
        <x:v>38500</x:v>
      </x:c>
      <x:c r="N39" s="97" t="n">
        <x:v>2</x:v>
      </x:c>
      <x:c r="O39" s="96" t="n">
        <x:f>IF(I39=0,0,M39/I39)</x:f>
        <x:v>4812.5</x:v>
      </x:c>
      <x:c r="P39" s="75" t="str">
        <x:v>150 耐久；82% 满耐久吸收；移速×0.98</x:v>
      </x:c>
      <x:c r="Q39" s="75" t="str">
        <x:v>ArmorDataCreator.cs / ArmorData</x:v>
      </x:c>
      <x:c r="R39" s="75" t="str">
        <x:v>当前特种维修套件不可用；建议作为赛季顶级追求物。</x:v>
      </x:c>
    </x:row>
  </x:sheetData>
  <x:mergeCells>
    <x:mergeCell ref="A1:R1"/>
    <x:mergeCell ref="A2:R2"/>
    <x:mergeCell ref="A4:R4"/>
  </x:mergeCells>
  <x:conditionalFormatting sqref="F6:F39">
    <x:cfRule type="containsText" dxfId="0" priority="1" operator="containsText" text="普通"/>
    <x:cfRule type="containsText" dxfId="1" priority="2" operator="containsText" text="优良"/>
    <x:cfRule type="containsText" dxfId="2" priority="3" operator="containsText" text="稀有"/>
    <x:cfRule type="containsText" dxfId="3" priority="4" operator="containsText" text="史诗"/>
    <x:cfRule type="containsText" dxfId="4" priority="5" operator="containsText" text="传说"/>
  </x:conditionalFormatting>
  <x:conditionalFormatting sqref="G6:G39">
    <x:cfRule type="containsText" dxfId="5" priority="6" operator="containsText" text="已实现"/>
    <x:cfRule type="containsText" dxfId="6" priority="7" operator="containsText" text="部分实现"/>
    <x:cfRule type="containsText" dxfId="7" priority="8" operator="containsText" text="未接入"/>
  </x:conditionalFormatting>
  <x:pageMargins left="0.7" right="0.7" top="0.75" bottom="0.75" header="0.3" footer="0.3"/>
  <x:tableParts count="1">
    <x:tablePart xmlns:r="http://schemas.openxmlformats.org/officeDocument/2006/relationships" r:id="R3a6bf12c2aa54d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24" hidden="0" customWidth="1"/>
    <x:col min="4" max="4" width="10" hidden="0" customWidth="1"/>
    <x:col min="5" max="5" width="10" hidden="0" customWidth="1"/>
    <x:col min="6" max="6" width="12" hidden="0" customWidth="1"/>
    <x:col min="7" max="7" width="14" hidden="0" customWidth="1"/>
    <x:col min="8" max="8" width="13" hidden="0" customWidth="1"/>
    <x:col min="9" max="9" width="16" hidden="0" customWidth="1"/>
    <x:col min="10" max="10" width="12" hidden="0" customWidth="1"/>
    <x:col min="11" max="11" width="13" hidden="0" customWidth="1"/>
    <x:col min="12" max="12" width="14" hidden="0" customWidth="1"/>
    <x:col min="13" max="13" width="25" hidden="0" customWidth="1"/>
    <x:col min="14" max="14" width="8" hidden="0" customWidth="1"/>
    <x:col min="15" max="15" width="12" hidden="0" customWidth="1"/>
    <x:col min="16" max="16" width="12" hidden="0" customWidth="1"/>
    <x:col min="17" max="17" width="12" hidden="0" customWidth="1"/>
    <x:col min="18" max="18" width="52" hidden="0" customWidth="1"/>
  </x:cols>
  <x:sheetData>
    <x:row r="1" ht="34" customHeight="1">
      <x:c r="A1" s="3" t="str">
        <x:v>医疗与维修｜具体数值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8" customHeight="1">
      <x:c r="A2" s="7" t="str">
        <x:v>医疗基于 100 生命；维修恢复量按护甲最大耐久百分比计算。黄色备注列记录与当前实现不一致之处。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>
      <x:c r="A3" s="125"/>
      <x:c r="B3" s="125"/>
      <x:c r="C3" s="125"/>
      <x:c r="D3" s="125"/>
      <x:c r="E3" s="125"/>
      <x:c r="F3" s="125"/>
      <x:c r="G3" s="125"/>
      <x:c r="H3" s="125"/>
      <x:c r="I3" s="125"/>
      <x:c r="J3" s="125"/>
      <x:c r="K3" s="125"/>
      <x:c r="L3" s="125"/>
      <x:c r="M3" s="125"/>
      <x:c r="N3" s="125"/>
      <x:c r="O3" s="125"/>
      <x:c r="P3" s="125"/>
      <x:c r="Q3" s="125"/>
      <x:c r="R3" s="125"/>
    </x:row>
    <x:row r="4">
      <x:c r="A4" s="125"/>
      <x:c r="B4" s="125"/>
      <x:c r="C4" s="125"/>
      <x:c r="D4" s="125"/>
      <x:c r="E4" s="125"/>
      <x:c r="F4" s="125"/>
      <x:c r="G4" s="125"/>
      <x:c r="H4" s="125"/>
      <x:c r="I4" s="125"/>
      <x:c r="J4" s="125"/>
      <x:c r="K4" s="125"/>
      <x:c r="L4" s="125"/>
      <x:c r="M4" s="125"/>
      <x:c r="N4" s="125"/>
      <x:c r="O4" s="125"/>
      <x:c r="P4" s="125"/>
      <x:c r="Q4" s="125"/>
      <x:c r="R4" s="125"/>
    </x:row>
    <x:row r="5" ht="34" customHeight="1">
      <x:c r="A5" s="15" t="str">
        <x:v>系统ID</x:v>
      </x:c>
      <x:c r="B5" s="32" t="str">
        <x:v>显示编号</x:v>
      </x:c>
      <x:c r="C5" s="32" t="str">
        <x:v>名称</x:v>
      </x:c>
      <x:c r="D5" s="32" t="str">
        <x:v>类型</x:v>
      </x:c>
      <x:c r="E5" s="32" t="str">
        <x:v>稀有度</x:v>
      </x:c>
      <x:c r="F5" s="32" t="str">
        <x:v>单次效果</x:v>
      </x:c>
      <x:c r="G5" s="32" t="str">
        <x:v>效果单位</x:v>
      </x:c>
      <x:c r="H5" s="32" t="str">
        <x:v>使用时间(s)</x:v>
      </x:c>
      <x:c r="I5" s="32" t="str">
        <x:v>最大耐久/次数</x:v>
      </x:c>
      <x:c r="J5" s="32" t="str">
        <x:v>每次消耗</x:v>
      </x:c>
      <x:c r="K5" s="32" t="str">
        <x:v>满状态次数</x:v>
      </x:c>
      <x:c r="L5" s="32" t="str">
        <x:v>理论总效果</x:v>
      </x:c>
      <x:c r="M5" s="32" t="str">
        <x:v>适用目标</x:v>
      </x:c>
      <x:c r="N5" s="32" t="str">
        <x:v>占格</x:v>
      </x:c>
      <x:c r="O5" s="32" t="str">
        <x:v>重量(kg)</x:v>
      </x:c>
      <x:c r="P5" s="32" t="str">
        <x:v>买入价</x:v>
      </x:c>
      <x:c r="Q5" s="32" t="str">
        <x:v>回收价</x:v>
      </x:c>
      <x:c r="R5" s="16" t="str">
        <x:v>设计/实现备注</x:v>
      </x:c>
    </x:row>
    <x:row r="6" ht="52" customHeight="1">
      <x:c r="A6" s="74" t="n">
        <x:v>1001</x:v>
      </x:c>
      <x:c r="B6" s="74" t="str">
        <x:v>MED-01</x:v>
      </x:c>
      <x:c r="C6" s="74" t="str">
        <x:v>医疗针</x:v>
      </x:c>
      <x:c r="D6" s="74" t="str">
        <x:v>医疗</x:v>
      </x:c>
      <x:c r="E6" s="74" t="str">
        <x:v>普通</x:v>
      </x:c>
      <x:c r="F6" s="78" t="n">
        <x:v>40</x:v>
      </x:c>
      <x:c r="G6" s="78" t="str">
        <x:v>生命</x:v>
      </x:c>
      <x:c r="H6" s="102" t="n">
        <x:v>1</x:v>
      </x:c>
      <x:c r="I6" s="78"/>
      <x:c r="J6" s="78"/>
      <x:c r="K6" s="80" t="n">
        <x:f>1</x:f>
        <x:v>1</x:v>
      </x:c>
      <x:c r="L6" s="80" t="n">
        <x:f>F6*K6</x:f>
        <x:v>40</x:v>
      </x:c>
      <x:c r="M6" s="78" t="str">
        <x:v>玩家生命</x:v>
      </x:c>
      <x:c r="N6" s="78" t="n">
        <x:v>1</x:v>
      </x:c>
      <x:c r="O6" s="104" t="n">
        <x:v>0.2</x:v>
      </x:c>
      <x:c r="P6" s="106" t="n">
        <x:v>900</x:v>
      </x:c>
      <x:c r="Q6" s="107" t="n">
        <x:f>ROUND(P6*'总览'!$B$11,0)</x:f>
        <x:v>315</x:v>
      </x:c>
      <x:c r="R6" s="98" t="str">
        <x:v>useTime 字段已存在，但 MedicalItem.Use 当前会立即治疗。</x:v>
      </x:c>
    </x:row>
    <x:row r="7" ht="52" customHeight="1">
      <x:c r="A7" s="75" t="n">
        <x:v>1002</x:v>
      </x:c>
      <x:c r="B7" s="75" t="str">
        <x:v>MED-02</x:v>
      </x:c>
      <x:c r="C7" s="75" t="str">
        <x:v>医疗急救套组</x:v>
      </x:c>
      <x:c r="D7" s="75" t="str">
        <x:v>医疗</x:v>
      </x:c>
      <x:c r="E7" s="75" t="str">
        <x:v>稀有</x:v>
      </x:c>
      <x:c r="F7" s="79" t="n">
        <x:v>35</x:v>
      </x:c>
      <x:c r="G7" s="79" t="str">
        <x:v>生命</x:v>
      </x:c>
      <x:c r="H7" s="103" t="n">
        <x:v>1.2</x:v>
      </x:c>
      <x:c r="I7" s="79" t="n">
        <x:v>100</x:v>
      </x:c>
      <x:c r="J7" s="79" t="n">
        <x:v>12</x:v>
      </x:c>
      <x:c r="K7" s="81" t="n">
        <x:f>ROUNDUP(I7/J7,0)</x:f>
        <x:v>9</x:v>
      </x:c>
      <x:c r="L7" s="81" t="n">
        <x:f>F7*K7</x:f>
        <x:v>315</x:v>
      </x:c>
      <x:c r="M7" s="79" t="str">
        <x:v>玩家生命</x:v>
      </x:c>
      <x:c r="N7" s="79" t="n">
        <x:v>3</x:v>
      </x:c>
      <x:c r="O7" s="105" t="n">
        <x:v>1.8</x:v>
      </x:c>
      <x:c r="P7" s="108" t="n">
        <x:v>4800</x:v>
      </x:c>
      <x:c r="Q7" s="109" t="n">
        <x:f>ROUND(P7*'总览'!$B$11,0)</x:f>
        <x:v>1680</x:v>
      </x:c>
      <x:c r="R7" s="99" t="str">
        <x:v>将用户原名“医疗继承套组”规范为“医疗急救套组”；第 9 次会消耗剩余 4 点耐久。</x:v>
      </x:c>
    </x:row>
    <x:row r="8" ht="52" customHeight="1">
      <x:c r="A8" s="75" t="n">
        <x:v>1003</x:v>
      </x:c>
      <x:c r="B8" s="75" t="str">
        <x:v>MED-03</x:v>
      </x:c>
      <x:c r="C8" s="75" t="str">
        <x:v>医疗包</x:v>
      </x:c>
      <x:c r="D8" s="75" t="str">
        <x:v>医疗</x:v>
      </x:c>
      <x:c r="E8" s="75" t="str">
        <x:v>优良</x:v>
      </x:c>
      <x:c r="F8" s="79" t="n">
        <x:v>50</x:v>
      </x:c>
      <x:c r="G8" s="79" t="str">
        <x:v>生命</x:v>
      </x:c>
      <x:c r="H8" s="103" t="n">
        <x:v>2</x:v>
      </x:c>
      <x:c r="I8" s="79" t="n">
        <x:v>60</x:v>
      </x:c>
      <x:c r="J8" s="79" t="n">
        <x:v>15</x:v>
      </x:c>
      <x:c r="K8" s="81" t="n">
        <x:f>ROUNDUP(I8/J8,0)</x:f>
        <x:v>4</x:v>
      </x:c>
      <x:c r="L8" s="81" t="n">
        <x:f>F8*K8</x:f>
        <x:v>200</x:v>
      </x:c>
      <x:c r="M8" s="79" t="str">
        <x:v>玩家生命</x:v>
      </x:c>
      <x:c r="N8" s="79" t="n">
        <x:v>2</x:v>
      </x:c>
      <x:c r="O8" s="105" t="n">
        <x:v>1.1</x:v>
      </x:c>
      <x:c r="P8" s="108" t="n">
        <x:v>2600</x:v>
      </x:c>
      <x:c r="Q8" s="109" t="n">
        <x:f>ROUND(P8*'总览'!$B$11,0)</x:f>
        <x:v>910</x:v>
      </x:c>
      <x:c r="R8" s="99" t="str">
        <x:v>单次效率高于急救套组，但使用时间更长、总治疗量更低。</x:v>
      </x:c>
    </x:row>
    <x:row r="9" ht="52" customHeight="1">
      <x:c r="A9" s="75" t="n">
        <x:v>3001</x:v>
      </x:c>
      <x:c r="B9" s="75" t="str">
        <x:v>REP-01</x:v>
      </x:c>
      <x:c r="C9" s="75" t="str">
        <x:v>低级护甲维修包</x:v>
      </x:c>
      <x:c r="D9" s="75" t="str">
        <x:v>维修</x:v>
      </x:c>
      <x:c r="E9" s="75" t="str">
        <x:v>普通</x:v>
      </x:c>
      <x:c r="F9" s="100" t="n">
        <x:v>0.5</x:v>
      </x:c>
      <x:c r="G9" s="79" t="str">
        <x:v>最大耐久</x:v>
      </x:c>
      <x:c r="H9" s="103" t="n">
        <x:v>3</x:v>
      </x:c>
      <x:c r="I9" s="79"/>
      <x:c r="J9" s="79"/>
      <x:c r="K9" s="81" t="n">
        <x:f>1</x:f>
        <x:v>1</x:v>
      </x:c>
      <x:c r="L9" s="101" t="n">
        <x:f>F9*K9</x:f>
        <x:v>0.5</x:v>
      </x:c>
      <x:c r="M9" s="79" t="str">
        <x:v>低级护甲</x:v>
      </x:c>
      <x:c r="N9" s="79" t="n">
        <x:v>2</x:v>
      </x:c>
      <x:c r="O9" s="105" t="n">
        <x:v>1.2</x:v>
      </x:c>
      <x:c r="P9" s="108" t="n">
        <x:v>1200</x:v>
      </x:c>
      <x:c r="Q9" s="109" t="n">
        <x:f>ROUND(P9*'总览'!$B$11,0)</x:f>
        <x:v>420</x:v>
      </x:c>
      <x:c r="R9" s="99" t="str">
        <x:v>代码已有等级与使用时间；库存消耗流程仍需接入。</x:v>
      </x:c>
    </x:row>
    <x:row r="10" ht="52" customHeight="1">
      <x:c r="A10" s="75" t="n">
        <x:v>3002</x:v>
      </x:c>
      <x:c r="B10" s="75" t="str">
        <x:v>REP-02</x:v>
      </x:c>
      <x:c r="C10" s="75" t="str">
        <x:v>中级护甲维修包</x:v>
      </x:c>
      <x:c r="D10" s="75" t="str">
        <x:v>维修</x:v>
      </x:c>
      <x:c r="E10" s="75" t="str">
        <x:v>优良</x:v>
      </x:c>
      <x:c r="F10" s="100" t="n">
        <x:v>0.5</x:v>
      </x:c>
      <x:c r="G10" s="79" t="str">
        <x:v>最大耐久</x:v>
      </x:c>
      <x:c r="H10" s="103" t="n">
        <x:v>4</x:v>
      </x:c>
      <x:c r="I10" s="79"/>
      <x:c r="J10" s="79"/>
      <x:c r="K10" s="81" t="n">
        <x:f>1</x:f>
        <x:v>1</x:v>
      </x:c>
      <x:c r="L10" s="101" t="n">
        <x:f>F10*K10</x:f>
        <x:v>0.5</x:v>
      </x:c>
      <x:c r="M10" s="79" t="str">
        <x:v>低级/中级护甲</x:v>
      </x:c>
      <x:c r="N10" s="79" t="n">
        <x:v>3</x:v>
      </x:c>
      <x:c r="O10" s="105" t="n">
        <x:v>2</x:v>
      </x:c>
      <x:c r="P10" s="108" t="n">
        <x:v>3000</x:v>
      </x:c>
      <x:c r="Q10" s="109" t="n">
        <x:f>ROUND(P10*'总览'!$B$11,0)</x:f>
        <x:v>1050</x:v>
      </x:c>
      <x:c r="R10" s="99" t="str">
        <x:v>规范用户文字中的“修维”为“维修”。</x:v>
      </x:c>
    </x:row>
    <x:row r="11" ht="52" customHeight="1">
      <x:c r="A11" s="75" t="n">
        <x:v>3003</x:v>
      </x:c>
      <x:c r="B11" s="75" t="str">
        <x:v>REP-03</x:v>
      </x:c>
      <x:c r="C11" s="75" t="str">
        <x:v>高级护甲维修包</x:v>
      </x:c>
      <x:c r="D11" s="75" t="str">
        <x:v>维修</x:v>
      </x:c>
      <x:c r="E11" s="75" t="str">
        <x:v>稀有</x:v>
      </x:c>
      <x:c r="F11" s="100" t="n">
        <x:v>0.5</x:v>
      </x:c>
      <x:c r="G11" s="79" t="str">
        <x:v>最大耐久</x:v>
      </x:c>
      <x:c r="H11" s="103" t="n">
        <x:v>5</x:v>
      </x:c>
      <x:c r="I11" s="79"/>
      <x:c r="J11" s="79"/>
      <x:c r="K11" s="81" t="n">
        <x:f>1</x:f>
        <x:v>1</x:v>
      </x:c>
      <x:c r="L11" s="101" t="n">
        <x:f>F11*K11</x:f>
        <x:v>0.5</x:v>
      </x:c>
      <x:c r="M11" s="79" t="str">
        <x:v>低级/中级/高级护甲</x:v>
      </x:c>
      <x:c r="N11" s="79" t="n">
        <x:v>4</x:v>
      </x:c>
      <x:c r="O11" s="105" t="n">
        <x:v>3</x:v>
      </x:c>
      <x:c r="P11" s="108" t="n">
        <x:v>7500</x:v>
      </x:c>
      <x:c r="Q11" s="109" t="n">
        <x:f>ROUND(P11*'总览'!$B$11,0)</x:f>
        <x:v>2625</x:v>
      </x:c>
      <x:c r="R11" s="99" t="str">
        <x:v>代码名为“精英修维包”，本表按用户层级统一为“高级护甲维修包”。</x:v>
      </x:c>
    </x:row>
    <x:row r="12" ht="52" customHeight="1">
      <x:c r="A12" s="75" t="n">
        <x:v>3004</x:v>
      </x:c>
      <x:c r="B12" s="75" t="str">
        <x:v>REP-04</x:v>
      </x:c>
      <x:c r="C12" s="75" t="str">
        <x:v>特种维修套件</x:v>
      </x:c>
      <x:c r="D12" s="75" t="str">
        <x:v>维修</x:v>
      </x:c>
      <x:c r="E12" s="75" t="str">
        <x:v>传说</x:v>
      </x:c>
      <x:c r="F12" s="100" t="n">
        <x:v>0.4</x:v>
      </x:c>
      <x:c r="G12" s="79" t="str">
        <x:v>最大耐久</x:v>
      </x:c>
      <x:c r="H12" s="103" t="n">
        <x:v>6</x:v>
      </x:c>
      <x:c r="I12" s="79" t="n">
        <x:v>2</x:v>
      </x:c>
      <x:c r="J12" s="79" t="n">
        <x:v>1</x:v>
      </x:c>
      <x:c r="K12" s="81" t="n">
        <x:f>2</x:f>
        <x:v>2</x:v>
      </x:c>
      <x:c r="L12" s="101" t="n">
        <x:f>F12*K12</x:f>
        <x:v>0.8</x:v>
      </x:c>
      <x:c r="M12" s="79" t="str">
        <x:v>复合重装/定制轻装</x:v>
      </x:c>
      <x:c r="N12" s="79" t="n">
        <x:v>5</x:v>
      </x:c>
      <x:c r="O12" s="105" t="n">
        <x:v>3.8</x:v>
      </x:c>
      <x:c r="P12" s="108" t="n">
        <x:v>16000</x:v>
      </x:c>
      <x:c r="Q12" s="109" t="n">
        <x:f>ROUND(P12*'总览'!$B$11,0)</x:f>
        <x:v>5600</x:v>
      </x:c>
      <x:c r="R12" s="99" t="str">
        <x:v>当前 CanRepair 对 Special 恒定返回 false；需要实现双次耐久与特级护甲白名单。</x:v>
      </x:c>
    </x:row>
  </x:sheetData>
  <x:mergeCells>
    <x:mergeCell ref="A1:R1"/>
    <x:mergeCell ref="A2:R2"/>
  </x:mergeCells>
  <x:conditionalFormatting sqref="E6:E12">
    <x:cfRule type="containsText" dxfId="8" priority="1" operator="containsText" text="普通"/>
    <x:cfRule type="containsText" dxfId="9" priority="2" operator="containsText" text="优良"/>
    <x:cfRule type="containsText" dxfId="10" priority="3" operator="containsText" text="稀有"/>
    <x:cfRule type="containsText" dxfId="11" priority="4" operator="containsText" text="史诗"/>
    <x:cfRule type="containsText" dxfId="12" priority="5" operator="containsText" text="传说"/>
  </x:conditionalFormatting>
  <x:pageMargins left="0.7" right="0.7" top="0.75" bottom="0.75" header="0.3" footer="0.3"/>
  <x:tableParts count="1">
    <x:tablePart xmlns:r="http://schemas.openxmlformats.org/officeDocument/2006/relationships" r:id="Rbf55317fd5b04b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22" hidden="0" customWidth="1"/>
    <x:col min="5" max="5" width="18" hidden="0" customWidth="1"/>
    <x:col min="6" max="6" width="9" hidden="0" customWidth="1"/>
    <x:col min="7" max="7" width="10" hidden="0" customWidth="1"/>
    <x:col min="8" max="8" width="10" hidden="0" customWidth="1"/>
    <x:col min="9" max="9" width="10" hidden="0" customWidth="1"/>
    <x:col min="10" max="10" width="12" hidden="0" customWidth="1"/>
    <x:col min="11" max="11" width="14" hidden="0" customWidth="1"/>
    <x:col min="12" max="12" width="10" hidden="0" customWidth="1"/>
    <x:col min="13" max="13" width="14" hidden="0" customWidth="1"/>
    <x:col min="14" max="14" width="13" hidden="0" customWidth="1"/>
    <x:col min="15" max="15" width="12" hidden="0" customWidth="1"/>
    <x:col min="16" max="16" width="9" hidden="0" customWidth="1"/>
    <x:col min="17" max="17" width="12" hidden="0" customWidth="1"/>
    <x:col min="18" max="18" width="13" hidden="0" customWidth="1"/>
    <x:col min="19" max="19" width="15" hidden="0" customWidth="1"/>
    <x:col min="20" max="20" width="54" hidden="0" customWidth="1"/>
  </x:cols>
  <x:sheetData>
    <x:row r="1" ht="34" customHeight="1">
      <x:c r="A1" s="3" t="str">
        <x:v>弹药｜穿透、伤害与经济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8" customHeight="1">
      <x:c r="A2" s="7" t="str">
        <x:v>价格按每发输入，满堆价值按 60 发计算；DPS 和 TTK 为无甲、理想命中理论值。霰弹枪按 6 颗弹丸全部命中。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3">
      <x:c r="A3" s="125"/>
      <x:c r="B3" s="125"/>
      <x:c r="C3" s="125"/>
      <x:c r="D3" s="125"/>
      <x:c r="E3" s="125"/>
      <x:c r="F3" s="125"/>
      <x:c r="G3" s="125"/>
      <x:c r="H3" s="125"/>
      <x:c r="I3" s="125"/>
      <x:c r="J3" s="125"/>
      <x:c r="K3" s="125"/>
      <x:c r="L3" s="125"/>
      <x:c r="M3" s="125"/>
      <x:c r="N3" s="125"/>
      <x:c r="O3" s="125"/>
      <x:c r="P3" s="125"/>
      <x:c r="Q3" s="125"/>
      <x:c r="R3" s="125"/>
      <x:c r="S3" s="125"/>
      <x:c r="T3" s="125"/>
    </x:row>
    <x:row r="4">
      <x:c r="A4" s="125"/>
      <x:c r="B4" s="125"/>
      <x:c r="C4" s="125"/>
      <x:c r="D4" s="125"/>
      <x:c r="E4" s="125"/>
      <x:c r="F4" s="125"/>
      <x:c r="G4" s="125"/>
      <x:c r="H4" s="125"/>
      <x:c r="I4" s="125"/>
      <x:c r="J4" s="125"/>
      <x:c r="K4" s="125"/>
      <x:c r="L4" s="125"/>
      <x:c r="M4" s="125"/>
      <x:c r="N4" s="125"/>
      <x:c r="O4" s="125"/>
      <x:c r="P4" s="125"/>
      <x:c r="Q4" s="125"/>
      <x:c r="R4" s="125"/>
      <x:c r="S4" s="125"/>
      <x:c r="T4" s="125"/>
    </x:row>
    <x:row r="5" ht="34" customHeight="1">
      <x:c r="A5" s="15" t="str">
        <x:v>系统ID</x:v>
      </x:c>
      <x:c r="B5" s="32" t="str">
        <x:v>显示编号</x:v>
      </x:c>
      <x:c r="C5" s="32" t="str">
        <x:v>名称</x:v>
      </x:c>
      <x:c r="D5" s="32" t="str">
        <x:v>适用武器</x:v>
      </x:c>
      <x:c r="E5" s="32" t="str">
        <x:v>代码AmmoType</x:v>
      </x:c>
      <x:c r="F5" s="32" t="str">
        <x:v>等级</x:v>
      </x:c>
      <x:c r="G5" s="32" t="str">
        <x:v>稀有度</x:v>
      </x:c>
      <x:c r="H5" s="32" t="str">
        <x:v>穿透</x:v>
      </x:c>
      <x:c r="I5" s="32" t="str">
        <x:v>穿透级</x:v>
      </x:c>
      <x:c r="J5" s="32" t="str">
        <x:v>伤害倍率</x:v>
      </x:c>
      <x:c r="K5" s="32" t="str">
        <x:v>基础单丸伤害</x:v>
      </x:c>
      <x:c r="L5" s="32" t="str">
        <x:v>弹丸数</x:v>
      </x:c>
      <x:c r="M5" s="32" t="str">
        <x:v>每扳机伤害</x:v>
      </x:c>
      <x:c r="N5" s="32" t="str">
        <x:v>射击间隔(s)</x:v>
      </x:c>
      <x:c r="O5" s="32" t="str">
        <x:v>理论DPS</x:v>
      </x:c>
      <x:c r="P5" s="32" t="str">
        <x:v>弹匣</x:v>
      </x:c>
      <x:c r="Q5" s="32" t="str">
        <x:v>每发价格</x:v>
      </x:c>
      <x:c r="R5" s="32" t="str">
        <x:v>60发价值</x:v>
      </x:c>
      <x:c r="S5" s="32" t="str">
        <x:v>60发重量(kg)</x:v>
      </x:c>
      <x:c r="T5" s="16" t="str">
        <x:v>实现状态/备注</x:v>
      </x:c>
    </x:row>
    <x:row r="6" ht="54" customHeight="1">
      <x:c r="A6" s="74" t="n">
        <x:v>2001</x:v>
      </x:c>
      <x:c r="B6" s="74" t="str">
        <x:v>AMO-SMG-L</x:v>
      </x:c>
      <x:c r="C6" s="74" t="str">
        <x:v>冲锋枪弹药（低级）</x:v>
      </x:c>
      <x:c r="D6" s="74" t="str">
        <x:v>MP7 / G18C</x:v>
      </x:c>
      <x:c r="E6" s="74" t="str">
        <x:v>SMG</x:v>
      </x:c>
      <x:c r="F6" s="74" t="str">
        <x:v>低级</x:v>
      </x:c>
      <x:c r="G6" s="74" t="str">
        <x:v>普通</x:v>
      </x:c>
      <x:c r="H6" s="74" t="str">
        <x:v>低级</x:v>
      </x:c>
      <x:c r="I6" s="78" t="n">
        <x:v>1</x:v>
      </x:c>
      <x:c r="J6" s="104" t="n">
        <x:v>1</x:v>
      </x:c>
      <x:c r="K6" s="102" t="n">
        <x:v>14</x:v>
      </x:c>
      <x:c r="L6" s="102" t="n">
        <x:v>1</x:v>
      </x:c>
      <x:c r="M6" s="110" t="n">
        <x:f>J6*K6*L6</x:f>
        <x:v>14</x:v>
      </x:c>
      <x:c r="N6" s="102" t="n">
        <x:v>0.08</x:v>
      </x:c>
      <x:c r="O6" s="110" t="n">
        <x:f>M6/N6</x:f>
        <x:v>175</x:v>
      </x:c>
      <x:c r="P6" s="74" t="n">
        <x:v>32</x:v>
      </x:c>
      <x:c r="Q6" s="106" t="n">
        <x:v>12</x:v>
      </x:c>
      <x:c r="R6" s="107" t="n">
        <x:f>Q6*'总览'!$B$8</x:f>
        <x:v>720</x:v>
      </x:c>
      <x:c r="S6" s="112" t="n">
        <x:f>0.012*'总览'!$B$8</x:f>
        <x:v>0.72</x:v>
      </x:c>
      <x:c r="T6" s="98" t="str">
        <x:v>已实现｜G18C 当前实际使用此弹药。</x:v>
      </x:c>
    </x:row>
    <x:row r="7" ht="54" customHeight="1">
      <x:c r="A7" s="75" t="n">
        <x:v>2002</x:v>
      </x:c>
      <x:c r="B7" s="75" t="str">
        <x:v>AMO-SMG-H</x:v>
      </x:c>
      <x:c r="C7" s="75" t="str">
        <x:v>冲锋枪弹药（高级）</x:v>
      </x:c>
      <x:c r="D7" s="75" t="str">
        <x:v>MP7 / G18C</x:v>
      </x:c>
      <x:c r="E7" s="75" t="str">
        <x:v>SMG</x:v>
      </x:c>
      <x:c r="F7" s="75" t="str">
        <x:v>高级</x:v>
      </x:c>
      <x:c r="G7" s="75" t="str">
        <x:v>稀有</x:v>
      </x:c>
      <x:c r="H7" s="75" t="str">
        <x:v>中级</x:v>
      </x:c>
      <x:c r="I7" s="79" t="n">
        <x:v>2</x:v>
      </x:c>
      <x:c r="J7" s="105" t="n">
        <x:v>1.1</x:v>
      </x:c>
      <x:c r="K7" s="103" t="n">
        <x:v>14</x:v>
      </x:c>
      <x:c r="L7" s="103" t="n">
        <x:v>1</x:v>
      </x:c>
      <x:c r="M7" s="111" t="n">
        <x:f>J7*K7*L7</x:f>
        <x:v>15.400000000000002</x:v>
      </x:c>
      <x:c r="N7" s="103" t="n">
        <x:v>0.08</x:v>
      </x:c>
      <x:c r="O7" s="111" t="n">
        <x:f>M7/N7</x:f>
        <x:v>192.50000000000003</x:v>
      </x:c>
      <x:c r="P7" s="75" t="n">
        <x:v>32</x:v>
      </x:c>
      <x:c r="Q7" s="108" t="n">
        <x:v>35</x:v>
      </x:c>
      <x:c r="R7" s="109" t="n">
        <x:f>Q7*'总览'!$B$8</x:f>
        <x:v>2100</x:v>
      </x:c>
      <x:c r="S7" s="113" t="n">
        <x:f>0.013*'总览'!$B$8</x:f>
        <x:v>0.7799999999999999</x:v>
      </x:c>
      <x:c r="T7" s="99" t="str">
        <x:v>已实现｜高级弹提升伤害 10%，同时跨越低级护甲。</x:v>
      </x:c>
    </x:row>
    <x:row r="8" ht="54" customHeight="1">
      <x:c r="A8" s="75" t="n">
        <x:v>2003</x:v>
      </x:c>
      <x:c r="B8" s="75" t="str">
        <x:v>AMO-AR-L</x:v>
      </x:c>
      <x:c r="C8" s="75" t="str">
        <x:v>突击步枪弹药（低级）</x:v>
      </x:c>
      <x:c r="D8" s="75" t="str">
        <x:v>M4A1</x:v>
      </x:c>
      <x:c r="E8" s="75" t="str">
        <x:v>Rifle</x:v>
      </x:c>
      <x:c r="F8" s="75" t="str">
        <x:v>低级</x:v>
      </x:c>
      <x:c r="G8" s="75" t="str">
        <x:v>优良</x:v>
      </x:c>
      <x:c r="H8" s="75" t="str">
        <x:v>中级</x:v>
      </x:c>
      <x:c r="I8" s="79" t="n">
        <x:v>2</x:v>
      </x:c>
      <x:c r="J8" s="105" t="n">
        <x:v>1</x:v>
      </x:c>
      <x:c r="K8" s="103" t="n">
        <x:v>20</x:v>
      </x:c>
      <x:c r="L8" s="103" t="n">
        <x:v>1</x:v>
      </x:c>
      <x:c r="M8" s="111" t="n">
        <x:f>J8*K8*L8</x:f>
        <x:v>20</x:v>
      </x:c>
      <x:c r="N8" s="103" t="n">
        <x:v>0.13</x:v>
      </x:c>
      <x:c r="O8" s="111" t="n">
        <x:f>M8/N8</x:f>
        <x:v>153.84615384615384</x:v>
      </x:c>
      <x:c r="P8" s="75" t="n">
        <x:v>30</x:v>
      </x:c>
      <x:c r="Q8" s="108" t="n">
        <x:v>22</x:v>
      </x:c>
      <x:c r="R8" s="109" t="n">
        <x:f>Q8*'总览'!$B$8</x:f>
        <x:v>1320</x:v>
      </x:c>
      <x:c r="S8" s="113" t="n">
        <x:f>0.017*'总览'!$B$8</x:f>
        <x:v>1.02</x:v>
      </x:c>
      <x:c r="T8" s="99" t="str">
        <x:v>部分实现｜与 SVD 弹药同属 Rifle，当前背包与换弹逻辑无法稳定区分。</x:v>
      </x:c>
    </x:row>
    <x:row r="9" ht="54" customHeight="1">
      <x:c r="A9" s="75" t="n">
        <x:v>2004</x:v>
      </x:c>
      <x:c r="B9" s="75" t="str">
        <x:v>AMO-AR-H</x:v>
      </x:c>
      <x:c r="C9" s="75" t="str">
        <x:v>突击步枪弹药（高级）</x:v>
      </x:c>
      <x:c r="D9" s="75" t="str">
        <x:v>M4A1</x:v>
      </x:c>
      <x:c r="E9" s="75" t="str">
        <x:v>Rifle</x:v>
      </x:c>
      <x:c r="F9" s="75" t="str">
        <x:v>高级</x:v>
      </x:c>
      <x:c r="G9" s="75" t="str">
        <x:v>稀有</x:v>
      </x:c>
      <x:c r="H9" s="75" t="str">
        <x:v>高级</x:v>
      </x:c>
      <x:c r="I9" s="79" t="n">
        <x:v>3</x:v>
      </x:c>
      <x:c r="J9" s="105" t="n">
        <x:v>1.15</x:v>
      </x:c>
      <x:c r="K9" s="103" t="n">
        <x:v>20</x:v>
      </x:c>
      <x:c r="L9" s="103" t="n">
        <x:v>1</x:v>
      </x:c>
      <x:c r="M9" s="111" t="n">
        <x:f>J9*K9*L9</x:f>
        <x:v>23</x:v>
      </x:c>
      <x:c r="N9" s="103" t="n">
        <x:v>0.13</x:v>
      </x:c>
      <x:c r="O9" s="111" t="n">
        <x:f>M9/N9</x:f>
        <x:v>176.9230769230769</x:v>
      </x:c>
      <x:c r="P9" s="75" t="n">
        <x:v>30</x:v>
      </x:c>
      <x:c r="Q9" s="108" t="n">
        <x:v>65</x:v>
      </x:c>
      <x:c r="R9" s="109" t="n">
        <x:f>Q9*'总览'!$B$8</x:f>
        <x:v>3900</x:v>
      </x:c>
      <x:c r="S9" s="113" t="n">
        <x:f>0.018*'总览'!$B$8</x:f>
        <x:v>1.0799999999999998</x:v>
      </x:c>
      <x:c r="T9" s="99" t="str">
        <x:v>部分实现｜建议拆分 M4A1 与 SVD 弹药类型，或改用 ammoData ID 精确匹配。</x:v>
      </x:c>
    </x:row>
    <x:row r="10" ht="54" customHeight="1">
      <x:c r="A10" s="75" t="n">
        <x:v>2005</x:v>
      </x:c>
      <x:c r="B10" s="75" t="str">
        <x:v>AMO-DMR-L</x:v>
      </x:c>
      <x:c r="C10" s="75" t="str">
        <x:v>射手步枪弹药（低级）</x:v>
      </x:c>
      <x:c r="D10" s="75" t="str">
        <x:v>SVD</x:v>
      </x:c>
      <x:c r="E10" s="75" t="str">
        <x:v>Rifle</x:v>
      </x:c>
      <x:c r="F10" s="75" t="str">
        <x:v>低级</x:v>
      </x:c>
      <x:c r="G10" s="75" t="str">
        <x:v>稀有</x:v>
      </x:c>
      <x:c r="H10" s="75" t="str">
        <x:v>高级</x:v>
      </x:c>
      <x:c r="I10" s="79" t="n">
        <x:v>3</x:v>
      </x:c>
      <x:c r="J10" s="105" t="n">
        <x:v>1</x:v>
      </x:c>
      <x:c r="K10" s="103" t="n">
        <x:v>45</x:v>
      </x:c>
      <x:c r="L10" s="103" t="n">
        <x:v>1</x:v>
      </x:c>
      <x:c r="M10" s="111" t="n">
        <x:f>J10*K10*L10</x:f>
        <x:v>45</x:v>
      </x:c>
      <x:c r="N10" s="103" t="n">
        <x:v>0.2</x:v>
      </x:c>
      <x:c r="O10" s="111" t="n">
        <x:f>M10/N10</x:f>
        <x:v>225</x:v>
      </x:c>
      <x:c r="P10" s="75" t="n">
        <x:v>15</x:v>
      </x:c>
      <x:c r="Q10" s="108" t="n">
        <x:v>55</x:v>
      </x:c>
      <x:c r="R10" s="109" t="n">
        <x:f>Q10*'总览'!$B$8</x:f>
        <x:v>3300</x:v>
      </x:c>
      <x:c r="S10" s="113" t="n">
        <x:f>0.022*'总览'!$B$8</x:f>
        <x:v>1.3199999999999998</x:v>
      </x:c>
      <x:c r="T10" s="99" t="str">
        <x:v>部分实现｜与 M4A1 弹药同属 Rifle，需解决混堆与误消耗。</x:v>
      </x:c>
    </x:row>
    <x:row r="11" ht="54" customHeight="1">
      <x:c r="A11" s="75" t="n">
        <x:v>2006</x:v>
      </x:c>
      <x:c r="B11" s="75" t="str">
        <x:v>AMO-DMR-H</x:v>
      </x:c>
      <x:c r="C11" s="75" t="str">
        <x:v>射手步枪弹药（高级）</x:v>
      </x:c>
      <x:c r="D11" s="75" t="str">
        <x:v>SVD</x:v>
      </x:c>
      <x:c r="E11" s="75" t="str">
        <x:v>Rifle</x:v>
      </x:c>
      <x:c r="F11" s="75" t="str">
        <x:v>高级</x:v>
      </x:c>
      <x:c r="G11" s="75" t="str">
        <x:v>史诗</x:v>
      </x:c>
      <x:c r="H11" s="75" t="str">
        <x:v>特级</x:v>
      </x:c>
      <x:c r="I11" s="79" t="n">
        <x:v>4</x:v>
      </x:c>
      <x:c r="J11" s="105" t="n">
        <x:v>1.2</x:v>
      </x:c>
      <x:c r="K11" s="103" t="n">
        <x:v>45</x:v>
      </x:c>
      <x:c r="L11" s="103" t="n">
        <x:v>1</x:v>
      </x:c>
      <x:c r="M11" s="111" t="n">
        <x:f>J11*K11*L11</x:f>
        <x:v>54</x:v>
      </x:c>
      <x:c r="N11" s="103" t="n">
        <x:v>0.2</x:v>
      </x:c>
      <x:c r="O11" s="111" t="n">
        <x:f>M11/N11</x:f>
        <x:v>270</x:v>
      </x:c>
      <x:c r="P11" s="75" t="n">
        <x:v>15</x:v>
      </x:c>
      <x:c r="Q11" s="108" t="n">
        <x:v>160</x:v>
      </x:c>
      <x:c r="R11" s="109" t="n">
        <x:f>Q11*'总览'!$B$8</x:f>
        <x:v>9600</x:v>
      </x:c>
      <x:c r="S11" s="113" t="n">
        <x:f>0.024*'总览'!$B$8</x:f>
        <x:v>1.44</x:v>
      </x:c>
      <x:c r="T11" s="99" t="str">
        <x:v>部分实现｜最高穿透、最高单发价值；应限制掉落与商店购买量。</x:v>
      </x:c>
    </x:row>
    <x:row r="12" ht="54" customHeight="1">
      <x:c r="A12" s="75" t="n">
        <x:v>2007</x:v>
      </x:c>
      <x:c r="B12" s="75" t="str">
        <x:v>AMO-SG-L</x:v>
      </x:c>
      <x:c r="C12" s="75" t="str">
        <x:v>连发霰弹枪弹药（低级）</x:v>
      </x:c>
      <x:c r="D12" s="75" t="str">
        <x:v>AA12</x:v>
      </x:c>
      <x:c r="E12" s="75" t="str">
        <x:v>Shotgun</x:v>
      </x:c>
      <x:c r="F12" s="75" t="str">
        <x:v>低级</x:v>
      </x:c>
      <x:c r="G12" s="75" t="str">
        <x:v>普通</x:v>
      </x:c>
      <x:c r="H12" s="75" t="str">
        <x:v>低级</x:v>
      </x:c>
      <x:c r="I12" s="79" t="n">
        <x:v>1</x:v>
      </x:c>
      <x:c r="J12" s="105" t="n">
        <x:v>1</x:v>
      </x:c>
      <x:c r="K12" s="103" t="n">
        <x:v>12</x:v>
      </x:c>
      <x:c r="L12" s="103" t="n">
        <x:v>6</x:v>
      </x:c>
      <x:c r="M12" s="111" t="n">
        <x:f>J12*K12*L12</x:f>
        <x:v>72</x:v>
      </x:c>
      <x:c r="N12" s="103" t="n">
        <x:v>0.25</x:v>
      </x:c>
      <x:c r="O12" s="111" t="n">
        <x:f>M12/N12</x:f>
        <x:v>288</x:v>
      </x:c>
      <x:c r="P12" s="75" t="n">
        <x:v>8</x:v>
      </x:c>
      <x:c r="Q12" s="108" t="n">
        <x:v>32</x:v>
      </x:c>
      <x:c r="R12" s="109" t="n">
        <x:f>Q12*'总览'!$B$8</x:f>
        <x:v>1920</x:v>
      </x:c>
      <x:c r="S12" s="113" t="n">
        <x:f>0.02*'总览'!$B$8</x:f>
        <x:v>1.2</x:v>
      </x:c>
      <x:c r="T12" s="99" t="str">
        <x:v>已实现｜表中伤害按 6 颗弹丸全部命中计算。</x:v>
      </x:c>
    </x:row>
    <x:row r="13" ht="54" customHeight="1">
      <x:c r="A13" s="75" t="n">
        <x:v>2008</x:v>
      </x:c>
      <x:c r="B13" s="75" t="str">
        <x:v>AMO-SG-H</x:v>
      </x:c>
      <x:c r="C13" s="75" t="str">
        <x:v>连发霰弹枪弹药（高级）</x:v>
      </x:c>
      <x:c r="D13" s="75" t="str">
        <x:v>AA12</x:v>
      </x:c>
      <x:c r="E13" s="75" t="str">
        <x:v>Shotgun</x:v>
      </x:c>
      <x:c r="F13" s="75" t="str">
        <x:v>高级</x:v>
      </x:c>
      <x:c r="G13" s="75" t="str">
        <x:v>稀有</x:v>
      </x:c>
      <x:c r="H13" s="75" t="str">
        <x:v>中级</x:v>
      </x:c>
      <x:c r="I13" s="79" t="n">
        <x:v>2</x:v>
      </x:c>
      <x:c r="J13" s="105" t="n">
        <x:v>1.1</x:v>
      </x:c>
      <x:c r="K13" s="103" t="n">
        <x:v>12</x:v>
      </x:c>
      <x:c r="L13" s="103" t="n">
        <x:v>6</x:v>
      </x:c>
      <x:c r="M13" s="111" t="n">
        <x:f>J13*K13*L13</x:f>
        <x:v>79.2</x:v>
      </x:c>
      <x:c r="N13" s="103" t="n">
        <x:v>0.25</x:v>
      </x:c>
      <x:c r="O13" s="111" t="n">
        <x:f>M13/N13</x:f>
        <x:v>316.8</x:v>
      </x:c>
      <x:c r="P13" s="75" t="n">
        <x:v>8</x:v>
      </x:c>
      <x:c r="Q13" s="108" t="n">
        <x:v>90</x:v>
      </x:c>
      <x:c r="R13" s="109" t="n">
        <x:f>Q13*'总览'!$B$8</x:f>
        <x:v>5400</x:v>
      </x:c>
      <x:c r="S13" s="113" t="n">
        <x:f>0.022*'总览'!$B$8</x:f>
        <x:v>1.3199999999999998</x:v>
      </x:c>
      <x:c r="T13" s="99" t="str">
        <x:v>已实现｜极近距离全中爆发很高，需以射程与散布限制。</x:v>
      </x:c>
    </x:row>
    <x:row r="14" ht="54" customHeight="1">
      <x:c r="A14" s="75" t="n">
        <x:v>2009</x:v>
      </x:c>
      <x:c r="B14" s="75" t="str">
        <x:v>AMO-LMG-L</x:v>
      </x:c>
      <x:c r="C14" s="75" t="str">
        <x:v>轻机枪弹药（低级）</x:v>
      </x:c>
      <x:c r="D14" s="75" t="str">
        <x:v>PKM</x:v>
      </x:c>
      <x:c r="E14" s="75" t="str">
        <x:v>LMG</x:v>
      </x:c>
      <x:c r="F14" s="75" t="str">
        <x:v>低级</x:v>
      </x:c>
      <x:c r="G14" s="75" t="str">
        <x:v>优良</x:v>
      </x:c>
      <x:c r="H14" s="75" t="str">
        <x:v>中级</x:v>
      </x:c>
      <x:c r="I14" s="79" t="n">
        <x:v>2</x:v>
      </x:c>
      <x:c r="J14" s="105" t="n">
        <x:v>1</x:v>
      </x:c>
      <x:c r="K14" s="103" t="n">
        <x:v>18</x:v>
      </x:c>
      <x:c r="L14" s="103" t="n">
        <x:v>1</x:v>
      </x:c>
      <x:c r="M14" s="111" t="n">
        <x:f>J14*K14*L14</x:f>
        <x:v>18</x:v>
      </x:c>
      <x:c r="N14" s="103" t="n">
        <x:v>0.1</x:v>
      </x:c>
      <x:c r="O14" s="111" t="n">
        <x:f>M14/N14</x:f>
        <x:v>180</x:v>
      </x:c>
      <x:c r="P14" s="75" t="n">
        <x:v>100</x:v>
      </x:c>
      <x:c r="Q14" s="108" t="n">
        <x:v>18</x:v>
      </x:c>
      <x:c r="R14" s="109" t="n">
        <x:f>Q14*'总览'!$B$8</x:f>
        <x:v>1080</x:v>
      </x:c>
      <x:c r="S14" s="113" t="n">
        <x:f>0.024*'总览'!$B$8</x:f>
        <x:v>1.44</x:v>
      </x:c>
      <x:c r="T14" s="99" t="str">
        <x:v>已实现｜60 发满堆不足一次完整 100 发换弹，建议保留以形成补给压力。</x:v>
      </x:c>
    </x:row>
    <x:row r="15" ht="54" customHeight="1">
      <x:c r="A15" s="75" t="n">
        <x:v>2010</x:v>
      </x:c>
      <x:c r="B15" s="75" t="str">
        <x:v>AMO-LMG-H</x:v>
      </x:c>
      <x:c r="C15" s="75" t="str">
        <x:v>轻机枪弹药（高级）</x:v>
      </x:c>
      <x:c r="D15" s="75" t="str">
        <x:v>PKM</x:v>
      </x:c>
      <x:c r="E15" s="75" t="str">
        <x:v>LMG</x:v>
      </x:c>
      <x:c r="F15" s="75" t="str">
        <x:v>高级</x:v>
      </x:c>
      <x:c r="G15" s="75" t="str">
        <x:v>史诗</x:v>
      </x:c>
      <x:c r="H15" s="75" t="str">
        <x:v>高级</x:v>
      </x:c>
      <x:c r="I15" s="79" t="n">
        <x:v>3</x:v>
      </x:c>
      <x:c r="J15" s="105" t="n">
        <x:v>1.15</x:v>
      </x:c>
      <x:c r="K15" s="103" t="n">
        <x:v>18</x:v>
      </x:c>
      <x:c r="L15" s="103" t="n">
        <x:v>1</x:v>
      </x:c>
      <x:c r="M15" s="111" t="n">
        <x:f>J15*K15*L15</x:f>
        <x:v>20.7</x:v>
      </x:c>
      <x:c r="N15" s="103" t="n">
        <x:v>0.1</x:v>
      </x:c>
      <x:c r="O15" s="111" t="n">
        <x:f>M15/N15</x:f>
        <x:v>206.99999999999997</x:v>
      </x:c>
      <x:c r="P15" s="75" t="n">
        <x:v>100</x:v>
      </x:c>
      <x:c r="Q15" s="108" t="n">
        <x:v>55</x:v>
      </x:c>
      <x:c r="R15" s="109" t="n">
        <x:f>Q15*'总览'!$B$8</x:f>
        <x:v>3300</x:v>
      </x:c>
      <x:c r="S15" s="113" t="n">
        <x:f>0.026*'总览'!$B$8</x:f>
        <x:v>1.5599999999999998</x:v>
      </x:c>
      <x:c r="T15" s="99" t="str">
        <x:v>已实现｜持续输出能力强，建议限制单局高级弹总量。</x:v>
      </x:c>
    </x:row>
    <x:row r="16" ht="54" customHeight="1">
      <x:c r="A16" s="75" t="n">
        <x:v>2011</x:v>
      </x:c>
      <x:c r="B16" s="75" t="str">
        <x:v>AMO-PST-L</x:v>
      </x:c>
      <x:c r="C16" s="75" t="str">
        <x:v>自动手枪弹药（低级）</x:v>
      </x:c>
      <x:c r="D16" s="75" t="str">
        <x:v>G18C</x:v>
      </x:c>
      <x:c r="E16" s="75" t="str">
        <x:v>Pistol（候选）</x:v>
      </x:c>
      <x:c r="F16" s="75" t="str">
        <x:v>低级</x:v>
      </x:c>
      <x:c r="G16" s="75" t="str">
        <x:v>普通</x:v>
      </x:c>
      <x:c r="H16" s="75" t="str">
        <x:v>低级</x:v>
      </x:c>
      <x:c r="I16" s="79" t="n">
        <x:v>1</x:v>
      </x:c>
      <x:c r="J16" s="105" t="n">
        <x:v>1</x:v>
      </x:c>
      <x:c r="K16" s="103" t="n">
        <x:v>9</x:v>
      </x:c>
      <x:c r="L16" s="103" t="n">
        <x:v>1</x:v>
      </x:c>
      <x:c r="M16" s="111" t="n">
        <x:f>J16*K16*L16</x:f>
        <x:v>9</x:v>
      </x:c>
      <x:c r="N16" s="103" t="n">
        <x:v>0.05</x:v>
      </x:c>
      <x:c r="O16" s="111" t="n">
        <x:f>M16/N16</x:f>
        <x:v>180</x:v>
      </x:c>
      <x:c r="P16" s="75" t="n">
        <x:v>33</x:v>
      </x:c>
      <x:c r="Q16" s="108" t="n">
        <x:v>10</x:v>
      </x:c>
      <x:c r="R16" s="109" t="n">
        <x:f>Q16*'总览'!$B$8</x:f>
        <x:v>600</x:v>
      </x:c>
      <x:c r="S16" s="113" t="n">
        <x:f>0.011*'总览'!$B$8</x:f>
        <x:v>0.6599999999999999</x:v>
      </x:c>
      <x:c r="T16" s="99" t="str">
        <x:v>未接入｜G18C 当前 ammoType=SMG，且该 AmmoDef 未绑定任何武器；建议删除或正式拆分。</x:v>
      </x:c>
    </x:row>
    <x:row r="17" ht="54" customHeight="1">
      <x:c r="A17" s="75" t="n">
        <x:v>2012</x:v>
      </x:c>
      <x:c r="B17" s="75" t="str">
        <x:v>AMO-PST-H</x:v>
      </x:c>
      <x:c r="C17" s="75" t="str">
        <x:v>自动手枪弹药（高级）</x:v>
      </x:c>
      <x:c r="D17" s="75" t="str">
        <x:v>G18C</x:v>
      </x:c>
      <x:c r="E17" s="75" t="str">
        <x:v>Pistol（候选）</x:v>
      </x:c>
      <x:c r="F17" s="75" t="str">
        <x:v>高级</x:v>
      </x:c>
      <x:c r="G17" s="75" t="str">
        <x:v>稀有</x:v>
      </x:c>
      <x:c r="H17" s="75" t="str">
        <x:v>中级</x:v>
      </x:c>
      <x:c r="I17" s="79" t="n">
        <x:v>2</x:v>
      </x:c>
      <x:c r="J17" s="105" t="n">
        <x:v>1.05</x:v>
      </x:c>
      <x:c r="K17" s="103" t="n">
        <x:v>9</x:v>
      </x:c>
      <x:c r="L17" s="103" t="n">
        <x:v>1</x:v>
      </x:c>
      <x:c r="M17" s="111" t="n">
        <x:f>J17*K17*L17</x:f>
        <x:v>9.450000000000001</x:v>
      </x:c>
      <x:c r="N17" s="103" t="n">
        <x:v>0.05</x:v>
      </x:c>
      <x:c r="O17" s="111" t="n">
        <x:f>M17/N17</x:f>
        <x:v>189</x:v>
      </x:c>
      <x:c r="P17" s="75" t="n">
        <x:v>33</x:v>
      </x:c>
      <x:c r="Q17" s="108" t="n">
        <x:v>30</x:v>
      </x:c>
      <x:c r="R17" s="109" t="n">
        <x:f>Q17*'总览'!$B$8</x:f>
        <x:v>1800</x:v>
      </x:c>
      <x:c r="S17" s="113" t="n">
        <x:f>0.012*'总览'!$B$8</x:f>
        <x:v>0.72</x:v>
      </x:c>
      <x:c r="T17" s="99" t="str">
        <x:v>未接入｜若继续与 MP7 共用弹药，应移除此行，避免污染掉落池。</x:v>
      </x:c>
    </x:row>
  </x:sheetData>
  <x:mergeCells>
    <x:mergeCell ref="A1:T1"/>
    <x:mergeCell ref="A2:T2"/>
  </x:mergeCells>
  <x:conditionalFormatting sqref="G6:G17">
    <x:cfRule type="containsText" dxfId="13" priority="1" operator="containsText" text="普通"/>
    <x:cfRule type="containsText" dxfId="14" priority="2" operator="containsText" text="优良"/>
    <x:cfRule type="containsText" dxfId="15" priority="3" operator="containsText" text="稀有"/>
    <x:cfRule type="containsText" dxfId="16" priority="4" operator="containsText" text="史诗"/>
    <x:cfRule type="containsText" dxfId="17" priority="5" operator="containsText" text="传说"/>
  </x:conditionalFormatting>
  <x:pageMargins left="0.7" right="0.7" top="0.75" bottom="0.75" header="0.3" footer="0.3"/>
  <x:tableParts count="1">
    <x:tablePart xmlns:r="http://schemas.openxmlformats.org/officeDocument/2006/relationships" r:id="Rfd3124b23acb487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9" hidden="0" customWidth="1"/>
    <x:col min="4" max="4" width="18" hidden="0" customWidth="1"/>
    <x:col min="5" max="5" width="10" hidden="0" customWidth="1"/>
    <x:col min="6" max="6" width="12" hidden="0" customWidth="1"/>
    <x:col min="7" max="7" width="12" hidden="0" customWidth="1"/>
    <x:col min="8" max="8" width="12" hidden="0" customWidth="1"/>
    <x:col min="9" max="9" width="10" hidden="0" customWidth="1"/>
    <x:col min="10" max="10" width="14" hidden="0" customWidth="1"/>
    <x:col min="11" max="11" width="10" hidden="0" customWidth="1"/>
    <x:col min="12" max="12" width="10" hidden="0" customWidth="1"/>
    <x:col min="13" max="13" width="12" hidden="0" customWidth="1"/>
    <x:col min="14" max="14" width="9" hidden="0" customWidth="1"/>
    <x:col min="15" max="15" width="10" hidden="0" customWidth="1"/>
    <x:col min="16" max="16" width="14" hidden="0" customWidth="1"/>
    <x:col min="17" max="17" width="14" hidden="0" customWidth="1"/>
    <x:col min="18" max="18" width="17" hidden="0" customWidth="1"/>
    <x:col min="19" max="19" width="14" hidden="0" customWidth="1"/>
    <x:col min="20" max="20" width="14" hidden="0" customWidth="1"/>
    <x:col min="21" max="21" width="10" hidden="0" customWidth="1"/>
    <x:col min="22" max="22" width="10" hidden="0" customWidth="1"/>
    <x:col min="23" max="23" width="11" hidden="0" customWidth="1"/>
    <x:col min="24" max="24" width="11" hidden="0" customWidth="1"/>
    <x:col min="25" max="25" width="11" hidden="0" customWidth="1"/>
    <x:col min="26" max="26" width="14" hidden="0" customWidth="1"/>
    <x:col min="27" max="27" width="15" hidden="0" customWidth="1"/>
  </x:cols>
  <x:sheetData>
    <x:row r="1" ht="34" customHeight="1">
      <x:c r="A1" s="3" t="str">
        <x:v>武器｜战斗数值与理论输出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 ht="38" customHeight="1">
      <x:c r="A2" s="7" t="str">
        <x:v>蓝色为原型输入；绿色为公式。TTK = 首发在 0 秒，因此为（击杀所需命中数 - 1）×射击间隔。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</x:row>
    <x:row r="3">
      <x:c r="A3" s="125"/>
      <x:c r="B3" s="125"/>
      <x:c r="C3" s="125"/>
      <x:c r="D3" s="125"/>
      <x:c r="E3" s="125"/>
      <x:c r="F3" s="125"/>
      <x:c r="G3" s="125"/>
      <x:c r="H3" s="125"/>
      <x:c r="I3" s="125"/>
      <x:c r="J3" s="125"/>
      <x:c r="K3" s="125"/>
      <x:c r="L3" s="125"/>
      <x:c r="M3" s="125"/>
      <x:c r="N3" s="125"/>
      <x:c r="O3" s="125"/>
      <x:c r="P3" s="125"/>
      <x:c r="Q3" s="125"/>
      <x:c r="R3" s="125"/>
      <x:c r="S3" s="125"/>
      <x:c r="T3" s="125"/>
      <x:c r="U3" s="125"/>
      <x:c r="V3" s="125"/>
      <x:c r="W3" s="125"/>
      <x:c r="X3" s="125"/>
      <x:c r="Y3" s="125"/>
      <x:c r="Z3" s="125"/>
      <x:c r="AA3" s="125"/>
    </x:row>
    <x:row r="4">
      <x:c r="A4" s="125"/>
      <x:c r="B4" s="125"/>
      <x:c r="C4" s="125"/>
      <x:c r="D4" s="125"/>
      <x:c r="E4" s="125"/>
      <x:c r="F4" s="125"/>
      <x:c r="G4" s="125"/>
      <x:c r="H4" s="125"/>
      <x:c r="I4" s="125"/>
      <x:c r="J4" s="125"/>
      <x:c r="K4" s="125"/>
      <x:c r="L4" s="125"/>
      <x:c r="M4" s="125"/>
      <x:c r="N4" s="125"/>
      <x:c r="O4" s="125"/>
      <x:c r="P4" s="125"/>
      <x:c r="Q4" s="125"/>
      <x:c r="R4" s="125"/>
      <x:c r="S4" s="125"/>
      <x:c r="T4" s="125"/>
      <x:c r="U4" s="125"/>
      <x:c r="V4" s="125"/>
      <x:c r="W4" s="125"/>
      <x:c r="X4" s="125"/>
      <x:c r="Y4" s="125"/>
      <x:c r="Z4" s="125"/>
      <x:c r="AA4" s="125"/>
    </x:row>
    <x:row r="5" ht="34" customHeight="1">
      <x:c r="A5" s="15" t="str">
        <x:v>系统ID</x:v>
      </x:c>
      <x:c r="B5" s="32" t="str">
        <x:v>显示编号</x:v>
      </x:c>
      <x:c r="C5" s="32" t="str">
        <x:v>原编号</x:v>
      </x:c>
      <x:c r="D5" s="32" t="str">
        <x:v>名称</x:v>
      </x:c>
      <x:c r="E5" s="32" t="str">
        <x:v>稀有度</x:v>
      </x:c>
      <x:c r="F5" s="32" t="str">
        <x:v>射击模式</x:v>
      </x:c>
      <x:c r="G5" s="32" t="str">
        <x:v>弹药</x:v>
      </x:c>
      <x:c r="H5" s="32" t="str">
        <x:v>单丸伤害</x:v>
      </x:c>
      <x:c r="I5" s="32" t="str">
        <x:v>弹丸数</x:v>
      </x:c>
      <x:c r="J5" s="32" t="str">
        <x:v>每扳机伤害</x:v>
      </x:c>
      <x:c r="K5" s="32" t="str">
        <x:v>间隔(s)</x:v>
      </x:c>
      <x:c r="L5" s="32" t="str">
        <x:v>RPM</x:v>
      </x:c>
      <x:c r="M5" s="32" t="str">
        <x:v>理论DPS</x:v>
      </x:c>
      <x:c r="N5" s="32" t="str">
        <x:v>弹匣</x:v>
      </x:c>
      <x:c r="O5" s="32" t="str">
        <x:v>换弹(s)</x:v>
      </x:c>
      <x:c r="P5" s="32" t="str">
        <x:v>清空弹匣(s)</x:v>
      </x:c>
      <x:c r="Q5" s="32" t="str">
        <x:v>弹匣总伤害</x:v>
      </x:c>
      <x:c r="R5" s="32" t="str">
        <x:v>持续DPS(含换弹)</x:v>
      </x:c>
      <x:c r="S5" s="32" t="str">
        <x:v>100血命中数</x:v>
      </x:c>
      <x:c r="T5" s="32" t="str">
        <x:v>100血TTK(s)</x:v>
      </x:c>
      <x:c r="U5" s="32" t="str">
        <x:v>射程</x:v>
      </x:c>
      <x:c r="V5" s="32" t="str">
        <x:v>后坐力</x:v>
      </x:c>
      <x:c r="W5" s="32" t="str">
        <x:v>基础散布</x:v>
      </x:c>
      <x:c r="X5" s="32" t="str">
        <x:v>移动散布</x:v>
      </x:c>
      <x:c r="Y5" s="32" t="str">
        <x:v>持枪移速</x:v>
      </x:c>
      <x:c r="Z5" s="32" t="str">
        <x:v>瞄准散布倍率</x:v>
      </x:c>
      <x:c r="AA5" s="16" t="str">
        <x:v>瞄准移速倍率</x:v>
      </x:c>
    </x:row>
    <x:row r="6" ht="46" customHeight="1">
      <x:c r="A6" s="74" t="n">
        <x:v>4001</x:v>
      </x:c>
      <x:c r="B6" s="74" t="str">
        <x:v>WPN-01</x:v>
      </x:c>
      <x:c r="C6" s="74" t="str">
        <x:v>01</x:v>
      </x:c>
      <x:c r="D6" s="74" t="str">
        <x:v>MP7</x:v>
      </x:c>
      <x:c r="E6" s="74" t="str">
        <x:v>优良</x:v>
      </x:c>
      <x:c r="F6" s="74" t="str">
        <x:v>全自动</x:v>
      </x:c>
      <x:c r="G6" s="74" t="str">
        <x:v>SMG</x:v>
      </x:c>
      <x:c r="H6" s="78" t="n">
        <x:v>14</x:v>
      </x:c>
      <x:c r="I6" s="78" t="n">
        <x:v>1</x:v>
      </x:c>
      <x:c r="J6" s="80" t="n">
        <x:f>H6*I6</x:f>
        <x:v>14</x:v>
      </x:c>
      <x:c r="K6" s="104" t="n">
        <x:v>0.08</x:v>
      </x:c>
      <x:c r="L6" s="110" t="n">
        <x:f>60/K6</x:f>
        <x:v>750</x:v>
      </x:c>
      <x:c r="M6" s="110" t="n">
        <x:f>J6/K6</x:f>
        <x:v>175</x:v>
      </x:c>
      <x:c r="N6" s="78" t="n">
        <x:v>32</x:v>
      </x:c>
      <x:c r="O6" s="102" t="n">
        <x:v>1.8</x:v>
      </x:c>
      <x:c r="P6" s="110" t="n">
        <x:f>(N6-1)*K6</x:f>
        <x:v>2.48</x:v>
      </x:c>
      <x:c r="Q6" s="80" t="n">
        <x:f>J6*N6</x:f>
        <x:v>448</x:v>
      </x:c>
      <x:c r="R6" s="110" t="n">
        <x:f>Q6/(P6+O6)</x:f>
        <x:v>104.67289719626167</x:v>
      </x:c>
      <x:c r="S6" s="80" t="n">
        <x:f>ROUNDUP('总览'!$B$5/J6,0)</x:f>
        <x:v>8</x:v>
      </x:c>
      <x:c r="T6" s="112" t="n">
        <x:f>(S6-1)*K6</x:f>
        <x:v>0.56</x:v>
      </x:c>
      <x:c r="U6" s="78" t="n">
        <x:v>12</x:v>
      </x:c>
      <x:c r="V6" s="78" t="n">
        <x:v>1.8</x:v>
      </x:c>
      <x:c r="W6" s="78" t="n">
        <x:v>3</x:v>
      </x:c>
      <x:c r="X6" s="78" t="n">
        <x:v>3.5</x:v>
      </x:c>
      <x:c r="Y6" s="114" t="n">
        <x:v>0.9</x:v>
      </x:c>
      <x:c r="Z6" s="114" t="n">
        <x:v>0.35</x:v>
      </x:c>
      <x:c r="AA6" s="114" t="n">
        <x:v>0.5</x:v>
      </x:c>
    </x:row>
    <x:row r="7" ht="46" customHeight="1">
      <x:c r="A7" s="75" t="n">
        <x:v>4002</x:v>
      </x:c>
      <x:c r="B7" s="75" t="str">
        <x:v>WPN-02</x:v>
      </x:c>
      <x:c r="C7" s="75" t="str">
        <x:v>02</x:v>
      </x:c>
      <x:c r="D7" s="75" t="str">
        <x:v>M4A1</x:v>
      </x:c>
      <x:c r="E7" s="75" t="str">
        <x:v>稀有</x:v>
      </x:c>
      <x:c r="F7" s="75" t="str">
        <x:v>全自动</x:v>
      </x:c>
      <x:c r="G7" s="75" t="str">
        <x:v>Rifle</x:v>
      </x:c>
      <x:c r="H7" s="79" t="n">
        <x:v>20</x:v>
      </x:c>
      <x:c r="I7" s="79" t="n">
        <x:v>1</x:v>
      </x:c>
      <x:c r="J7" s="81" t="n">
        <x:f>H7*I7</x:f>
        <x:v>20</x:v>
      </x:c>
      <x:c r="K7" s="105" t="n">
        <x:v>0.13</x:v>
      </x:c>
      <x:c r="L7" s="111" t="n">
        <x:f>60/K7</x:f>
        <x:v>461.53846153846155</x:v>
      </x:c>
      <x:c r="M7" s="111" t="n">
        <x:f>J7/K7</x:f>
        <x:v>153.84615384615384</x:v>
      </x:c>
      <x:c r="N7" s="79" t="n">
        <x:v>30</x:v>
      </x:c>
      <x:c r="O7" s="103" t="n">
        <x:v>2.2</x:v>
      </x:c>
      <x:c r="P7" s="111" t="n">
        <x:f>(N7-1)*K7</x:f>
        <x:v>3.77</x:v>
      </x:c>
      <x:c r="Q7" s="81" t="n">
        <x:f>J7*N7</x:f>
        <x:v>600</x:v>
      </x:c>
      <x:c r="R7" s="111" t="n">
        <x:f>Q7/(P7+O7)</x:f>
        <x:v>100.50251256281406</x:v>
      </x:c>
      <x:c r="S7" s="81" t="n">
        <x:f>ROUNDUP('总览'!$B$5/J7,0)</x:f>
        <x:v>5</x:v>
      </x:c>
      <x:c r="T7" s="113" t="n">
        <x:f>(S7-1)*K7</x:f>
        <x:v>0.52</x:v>
      </x:c>
      <x:c r="U7" s="79" t="n">
        <x:v>25</x:v>
      </x:c>
      <x:c r="V7" s="79" t="n">
        <x:v>3</x:v>
      </x:c>
      <x:c r="W7" s="79" t="n">
        <x:v>2</x:v>
      </x:c>
      <x:c r="X7" s="79" t="n">
        <x:v>3</x:v>
      </x:c>
      <x:c r="Y7" s="100" t="n">
        <x:v>0.8</x:v>
      </x:c>
      <x:c r="Z7" s="100" t="n">
        <x:v>0.25</x:v>
      </x:c>
      <x:c r="AA7" s="100" t="n">
        <x:v>0.4</x:v>
      </x:c>
    </x:row>
    <x:row r="8" ht="46" customHeight="1">
      <x:c r="A8" s="75" t="n">
        <x:v>4003</x:v>
      </x:c>
      <x:c r="B8" s="75" t="str">
        <x:v>WPN-03</x:v>
      </x:c>
      <x:c r="C8" s="75" t="str">
        <x:v>03</x:v>
      </x:c>
      <x:c r="D8" s="75" t="str">
        <x:v>SVD</x:v>
      </x:c>
      <x:c r="E8" s="75" t="str">
        <x:v>史诗</x:v>
      </x:c>
      <x:c r="F8" s="75" t="str">
        <x:v>半自动</x:v>
      </x:c>
      <x:c r="G8" s="75" t="str">
        <x:v>Rifle</x:v>
      </x:c>
      <x:c r="H8" s="79" t="n">
        <x:v>45</x:v>
      </x:c>
      <x:c r="I8" s="79" t="n">
        <x:v>1</x:v>
      </x:c>
      <x:c r="J8" s="81" t="n">
        <x:f>H8*I8</x:f>
        <x:v>45</x:v>
      </x:c>
      <x:c r="K8" s="105" t="n">
        <x:v>0.2</x:v>
      </x:c>
      <x:c r="L8" s="111" t="n">
        <x:f>60/K8</x:f>
        <x:v>300</x:v>
      </x:c>
      <x:c r="M8" s="111" t="n">
        <x:f>J8/K8</x:f>
        <x:v>225</x:v>
      </x:c>
      <x:c r="N8" s="79" t="n">
        <x:v>15</x:v>
      </x:c>
      <x:c r="O8" s="103" t="n">
        <x:v>2.8</x:v>
      </x:c>
      <x:c r="P8" s="111" t="n">
        <x:f>(N8-1)*K8</x:f>
        <x:v>2.8000000000000003</x:v>
      </x:c>
      <x:c r="Q8" s="81" t="n">
        <x:f>J8*N8</x:f>
        <x:v>675</x:v>
      </x:c>
      <x:c r="R8" s="111" t="n">
        <x:f>Q8/(P8+O8)</x:f>
        <x:v>120.53571428571429</x:v>
      </x:c>
      <x:c r="S8" s="81" t="n">
        <x:f>ROUNDUP('总览'!$B$5/J8,0)</x:f>
        <x:v>3</x:v>
      </x:c>
      <x:c r="T8" s="113" t="n">
        <x:f>(S8-1)*K8</x:f>
        <x:v>0.4</x:v>
      </x:c>
      <x:c r="U8" s="79" t="n">
        <x:v>40</x:v>
      </x:c>
      <x:c r="V8" s="79" t="n">
        <x:v>6</x:v>
      </x:c>
      <x:c r="W8" s="79" t="n">
        <x:v>0.8</x:v>
      </x:c>
      <x:c r="X8" s="79" t="n">
        <x:v>4</x:v>
      </x:c>
      <x:c r="Y8" s="100" t="n">
        <x:v>0.7</x:v>
      </x:c>
      <x:c r="Z8" s="100" t="n">
        <x:v>0.15</x:v>
      </x:c>
      <x:c r="AA8" s="100" t="n">
        <x:v>0.35</x:v>
      </x:c>
    </x:row>
    <x:row r="9" ht="46" customHeight="1">
      <x:c r="A9" s="75" t="n">
        <x:v>4004</x:v>
      </x:c>
      <x:c r="B9" s="75" t="str">
        <x:v>WPN-04</x:v>
      </x:c>
      <x:c r="C9" s="75" t="str">
        <x:v>04</x:v>
      </x:c>
      <x:c r="D9" s="75" t="str">
        <x:v>AA12</x:v>
      </x:c>
      <x:c r="E9" s="75" t="str">
        <x:v>稀有</x:v>
      </x:c>
      <x:c r="F9" s="75" t="str">
        <x:v>全自动</x:v>
      </x:c>
      <x:c r="G9" s="75" t="str">
        <x:v>Shotgun</x:v>
      </x:c>
      <x:c r="H9" s="79" t="n">
        <x:v>12</x:v>
      </x:c>
      <x:c r="I9" s="79" t="n">
        <x:v>6</x:v>
      </x:c>
      <x:c r="J9" s="81" t="n">
        <x:f>H9*I9</x:f>
        <x:v>72</x:v>
      </x:c>
      <x:c r="K9" s="105" t="n">
        <x:v>0.25</x:v>
      </x:c>
      <x:c r="L9" s="111" t="n">
        <x:f>60/K9</x:f>
        <x:v>240</x:v>
      </x:c>
      <x:c r="M9" s="111" t="n">
        <x:f>J9/K9</x:f>
        <x:v>288</x:v>
      </x:c>
      <x:c r="N9" s="79" t="n">
        <x:v>8</x:v>
      </x:c>
      <x:c r="O9" s="103" t="n">
        <x:v>2.5</x:v>
      </x:c>
      <x:c r="P9" s="111" t="n">
        <x:f>(N9-1)*K9</x:f>
        <x:v>1.75</x:v>
      </x:c>
      <x:c r="Q9" s="81" t="n">
        <x:f>J9*N9</x:f>
        <x:v>576</x:v>
      </x:c>
      <x:c r="R9" s="111" t="n">
        <x:f>Q9/(P9+O9)</x:f>
        <x:v>135.52941176470588</x:v>
      </x:c>
      <x:c r="S9" s="81" t="n">
        <x:f>ROUNDUP('总览'!$B$5/J9,0)</x:f>
        <x:v>2</x:v>
      </x:c>
      <x:c r="T9" s="113" t="n">
        <x:f>(S9-1)*K9</x:f>
        <x:v>0.25</x:v>
      </x:c>
      <x:c r="U9" s="79" t="n">
        <x:v>8</x:v>
      </x:c>
      <x:c r="V9" s="79" t="n">
        <x:v>5</x:v>
      </x:c>
      <x:c r="W9" s="79" t="n">
        <x:v>10</x:v>
      </x:c>
      <x:c r="X9" s="79" t="n">
        <x:v>2</x:v>
      </x:c>
      <x:c r="Y9" s="100" t="n">
        <x:v>0.88</x:v>
      </x:c>
      <x:c r="Z9" s="100" t="n">
        <x:v>0.5</x:v>
      </x:c>
      <x:c r="AA9" s="100" t="n">
        <x:v>0.55</x:v>
      </x:c>
    </x:row>
    <x:row r="10" ht="46" customHeight="1">
      <x:c r="A10" s="75" t="n">
        <x:v>4005</x:v>
      </x:c>
      <x:c r="B10" s="75" t="str">
        <x:v>WPN-05</x:v>
      </x:c>
      <x:c r="C10" s="75" t="str">
        <x:v>05</x:v>
      </x:c>
      <x:c r="D10" s="75" t="str">
        <x:v>PKM</x:v>
      </x:c>
      <x:c r="E10" s="75" t="str">
        <x:v>史诗</x:v>
      </x:c>
      <x:c r="F10" s="75" t="str">
        <x:v>全自动</x:v>
      </x:c>
      <x:c r="G10" s="75" t="str">
        <x:v>LMG</x:v>
      </x:c>
      <x:c r="H10" s="79" t="n">
        <x:v>18</x:v>
      </x:c>
      <x:c r="I10" s="79" t="n">
        <x:v>1</x:v>
      </x:c>
      <x:c r="J10" s="81" t="n">
        <x:f>H10*I10</x:f>
        <x:v>18</x:v>
      </x:c>
      <x:c r="K10" s="105" t="n">
        <x:v>0.1</x:v>
      </x:c>
      <x:c r="L10" s="111" t="n">
        <x:f>60/K10</x:f>
        <x:v>600</x:v>
      </x:c>
      <x:c r="M10" s="111" t="n">
        <x:f>J10/K10</x:f>
        <x:v>180</x:v>
      </x:c>
      <x:c r="N10" s="79" t="n">
        <x:v>100</x:v>
      </x:c>
      <x:c r="O10" s="103" t="n">
        <x:v>4.5</x:v>
      </x:c>
      <x:c r="P10" s="111" t="n">
        <x:f>(N10-1)*K10</x:f>
        <x:v>9.9</x:v>
      </x:c>
      <x:c r="Q10" s="81" t="n">
        <x:f>J10*N10</x:f>
        <x:v>1800</x:v>
      </x:c>
      <x:c r="R10" s="111" t="n">
        <x:f>Q10/(P10+O10)</x:f>
        <x:v>125</x:v>
      </x:c>
      <x:c r="S10" s="81" t="n">
        <x:f>ROUNDUP('总览'!$B$5/J10,0)</x:f>
        <x:v>6</x:v>
      </x:c>
      <x:c r="T10" s="113" t="n">
        <x:f>(S10-1)*K10</x:f>
        <x:v>0.5</x:v>
      </x:c>
      <x:c r="U10" s="79" t="n">
        <x:v>28</x:v>
      </x:c>
      <x:c r="V10" s="79" t="n">
        <x:v>4</x:v>
      </x:c>
      <x:c r="W10" s="79" t="n">
        <x:v>4</x:v>
      </x:c>
      <x:c r="X10" s="79" t="n">
        <x:v>5</x:v>
      </x:c>
      <x:c r="Y10" s="100" t="n">
        <x:v>0.45</x:v>
      </x:c>
      <x:c r="Z10" s="100" t="n">
        <x:v>0.3</x:v>
      </x:c>
      <x:c r="AA10" s="100" t="n">
        <x:v>0.3</x:v>
      </x:c>
    </x:row>
    <x:row r="11" ht="46" customHeight="1">
      <x:c r="A11" s="75" t="n">
        <x:v>4006</x:v>
      </x:c>
      <x:c r="B11" s="75" t="str">
        <x:v>WPN-06</x:v>
      </x:c>
      <x:c r="C11" s="75" t="str">
        <x:v>06</x:v>
      </x:c>
      <x:c r="D11" s="75" t="str">
        <x:v>G18C</x:v>
      </x:c>
      <x:c r="E11" s="75" t="str">
        <x:v>普通</x:v>
      </x:c>
      <x:c r="F11" s="75" t="str">
        <x:v>全自动</x:v>
      </x:c>
      <x:c r="G11" s="75" t="str">
        <x:v>SMG</x:v>
      </x:c>
      <x:c r="H11" s="79" t="n">
        <x:v>9</x:v>
      </x:c>
      <x:c r="I11" s="79" t="n">
        <x:v>1</x:v>
      </x:c>
      <x:c r="J11" s="81" t="n">
        <x:f>H11*I11</x:f>
        <x:v>9</x:v>
      </x:c>
      <x:c r="K11" s="105" t="n">
        <x:v>0.05</x:v>
      </x:c>
      <x:c r="L11" s="111" t="n">
        <x:f>60/K11</x:f>
        <x:v>1200</x:v>
      </x:c>
      <x:c r="M11" s="111" t="n">
        <x:f>J11/K11</x:f>
        <x:v>180</x:v>
      </x:c>
      <x:c r="N11" s="79" t="n">
        <x:v>33</x:v>
      </x:c>
      <x:c r="O11" s="103" t="n">
        <x:v>1.5</x:v>
      </x:c>
      <x:c r="P11" s="111" t="n">
        <x:f>(N11-1)*K11</x:f>
        <x:v>1.6</x:v>
      </x:c>
      <x:c r="Q11" s="81" t="n">
        <x:f>J11*N11</x:f>
        <x:v>297</x:v>
      </x:c>
      <x:c r="R11" s="111" t="n">
        <x:f>Q11/(P11+O11)</x:f>
        <x:v>95.80645161290322</x:v>
      </x:c>
      <x:c r="S11" s="81" t="n">
        <x:f>ROUNDUP('总览'!$B$5/J11,0)</x:f>
        <x:v>12</x:v>
      </x:c>
      <x:c r="T11" s="113" t="n">
        <x:f>(S11-1)*K11</x:f>
        <x:v>0.55</x:v>
      </x:c>
      <x:c r="U11" s="79" t="n">
        <x:v>10</x:v>
      </x:c>
      <x:c r="V11" s="79" t="n">
        <x:v>1.5</x:v>
      </x:c>
      <x:c r="W11" s="79" t="n">
        <x:v>4</x:v>
      </x:c>
      <x:c r="X11" s="79" t="n">
        <x:v>2.5</x:v>
      </x:c>
      <x:c r="Y11" s="100" t="n">
        <x:v>0.95</x:v>
      </x:c>
      <x:c r="Z11" s="100" t="n">
        <x:v>0.4</x:v>
      </x:c>
      <x:c r="AA11" s="100" t="n">
        <x:v>0.55</x:v>
      </x:c>
    </x:row>
    <x:row r="12" ht="46" customHeight="1">
      <x:c r="A12" s="75" t="n">
        <x:v>4007</x:v>
      </x:c>
      <x:c r="B12" s="75" t="str">
        <x:v>WPN-07</x:v>
      </x:c>
      <x:c r="C12" s="75" t="str">
        <x:v>07</x:v>
      </x:c>
      <x:c r="D12" s="75" t="str">
        <x:v>战术匕首</x:v>
      </x:c>
      <x:c r="E12" s="75" t="str">
        <x:v>普通</x:v>
      </x:c>
      <x:c r="F12" s="75" t="str">
        <x:v>半自动近战</x:v>
      </x:c>
      <x:c r="G12" s="75" t="str">
        <x:v>无</x:v>
      </x:c>
      <x:c r="H12" s="79" t="n">
        <x:v>35</x:v>
      </x:c>
      <x:c r="I12" s="79" t="n">
        <x:v>1</x:v>
      </x:c>
      <x:c r="J12" s="81" t="n">
        <x:f>H12*I12</x:f>
        <x:v>35</x:v>
      </x:c>
      <x:c r="K12" s="105" t="n">
        <x:v>0.45</x:v>
      </x:c>
      <x:c r="L12" s="111" t="n">
        <x:f>60/K12</x:f>
        <x:v>133.33333333333334</x:v>
      </x:c>
      <x:c r="M12" s="111" t="n">
        <x:f>J12/K12</x:f>
        <x:v>77.77777777777777</x:v>
      </x:c>
      <x:c r="N12" s="79"/>
      <x:c r="O12" s="103" t="n">
        <x:v>0</x:v>
      </x:c>
      <x:c r="P12" s="111"/>
      <x:c r="Q12" s="81"/>
      <x:c r="R12" s="111"/>
      <x:c r="S12" s="81" t="n">
        <x:f>ROUNDUP('总览'!$B$5/J12,0)</x:f>
        <x:v>3</x:v>
      </x:c>
      <x:c r="T12" s="113" t="n">
        <x:f>(S12-1)*K12</x:f>
        <x:v>0.9</x:v>
      </x:c>
      <x:c r="U12" s="79" t="n">
        <x:v>1.5</x:v>
      </x:c>
      <x:c r="V12" s="79" t="n">
        <x:v>0</x:v>
      </x:c>
      <x:c r="W12" s="79" t="n">
        <x:v>0</x:v>
      </x:c>
      <x:c r="X12" s="79" t="n">
        <x:v>0</x:v>
      </x:c>
      <x:c r="Y12" s="100" t="n">
        <x:v>1</x:v>
      </x:c>
      <x:c r="Z12" s="100" t="n">
        <x:v>1</x:v>
      </x:c>
      <x:c r="AA12" s="100" t="n">
        <x:v>1</x:v>
      </x:c>
    </x:row>
  </x:sheetData>
  <x:mergeCells>
    <x:mergeCell ref="A1:AA1"/>
    <x:mergeCell ref="A2:AA2"/>
  </x:mergeCells>
  <x:conditionalFormatting sqref="E6:E12">
    <x:cfRule type="containsText" dxfId="18" priority="1" operator="containsText" text="普通"/>
    <x:cfRule type="containsText" dxfId="19" priority="2" operator="containsText" text="优良"/>
    <x:cfRule type="containsText" dxfId="20" priority="3" operator="containsText" text="稀有"/>
    <x:cfRule type="containsText" dxfId="21" priority="4" operator="containsText" text="史诗"/>
    <x:cfRule type="containsText" dxfId="22" priority="5" operator="containsText" text="传说"/>
  </x:conditionalFormatting>
  <x:pageMargins left="0.7" right="0.7" top="0.75" bottom="0.75" header="0.3" footer="0.3"/>
  <x:tableParts count="1">
    <x:tablePart xmlns:r="http://schemas.openxmlformats.org/officeDocument/2006/relationships" r:id="Rbc35a5f1d3e449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25" hidden="0" customWidth="1"/>
    <x:col min="4" max="4" width="10" hidden="0" customWidth="1"/>
    <x:col min="5" max="5" width="11" hidden="0" customWidth="1"/>
    <x:col min="6" max="6" width="9" hidden="0" customWidth="1"/>
    <x:col min="7" max="7" width="12" hidden="0" customWidth="1"/>
    <x:col min="8" max="8" width="14" hidden="0" customWidth="1"/>
    <x:col min="9" max="9" width="14" hidden="0" customWidth="1"/>
    <x:col min="10" max="10" width="15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5" hidden="0" customWidth="1"/>
    <x:col min="16" max="16" width="11" hidden="0" customWidth="1"/>
    <x:col min="17" max="17" width="16" hidden="0" customWidth="1"/>
    <x:col min="18" max="18" width="15" hidden="0" customWidth="1"/>
    <x:col min="19" max="19" width="9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 ht="34" customHeight="1">
      <x:c r="A1" s="3" t="str">
        <x:v>护甲｜耐久、防护与机动代价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38" customHeight="1">
      <x:c r="A2" s="7" t="str">
        <x:v>有效生命按满耐久、同级穿透计算：100 ÷ [0.75 × (1 - 吸收率)]。该值仅用于发现极端，不等同实战存活时间。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125"/>
      <x:c r="B3" s="125"/>
      <x:c r="C3" s="125"/>
      <x:c r="D3" s="125"/>
      <x:c r="E3" s="125"/>
      <x:c r="F3" s="125"/>
      <x:c r="G3" s="125"/>
      <x:c r="H3" s="125"/>
      <x:c r="I3" s="125"/>
      <x:c r="J3" s="125"/>
      <x:c r="K3" s="125"/>
      <x:c r="L3" s="125"/>
      <x:c r="M3" s="125"/>
      <x:c r="N3" s="125"/>
      <x:c r="O3" s="125"/>
      <x:c r="P3" s="125"/>
      <x:c r="Q3" s="125"/>
      <x:c r="R3" s="125"/>
      <x:c r="S3" s="125"/>
      <x:c r="T3" s="125"/>
      <x:c r="U3" s="125"/>
      <x:c r="V3" s="125"/>
    </x:row>
    <x:row r="4">
      <x:c r="A4" s="125"/>
      <x:c r="B4" s="125"/>
      <x:c r="C4" s="125"/>
      <x:c r="D4" s="125"/>
      <x:c r="E4" s="125"/>
      <x:c r="F4" s="125"/>
      <x:c r="G4" s="125"/>
      <x:c r="H4" s="125"/>
      <x:c r="I4" s="125"/>
      <x:c r="J4" s="125"/>
      <x:c r="K4" s="125"/>
      <x:c r="L4" s="125"/>
      <x:c r="M4" s="125"/>
      <x:c r="N4" s="125"/>
      <x:c r="O4" s="125"/>
      <x:c r="P4" s="125"/>
      <x:c r="Q4" s="125"/>
      <x:c r="R4" s="125"/>
      <x:c r="S4" s="125"/>
      <x:c r="T4" s="125"/>
      <x:c r="U4" s="125"/>
      <x:c r="V4" s="125"/>
    </x:row>
    <x:row r="5" ht="34" customHeight="1">
      <x:c r="A5" s="15" t="str">
        <x:v>系统ID</x:v>
      </x:c>
      <x:c r="B5" s="32" t="str">
        <x:v>显示编号</x:v>
      </x:c>
      <x:c r="C5" s="32" t="str">
        <x:v>名称</x:v>
      </x:c>
      <x:c r="D5" s="32" t="str">
        <x:v>稀有度</x:v>
      </x:c>
      <x:c r="E5" s="32" t="str">
        <x:v>防护等级</x:v>
      </x:c>
      <x:c r="F5" s="32" t="str">
        <x:v>等级值</x:v>
      </x:c>
      <x:c r="G5" s="32" t="str">
        <x:v>最大耐久</x:v>
      </x:c>
      <x:c r="H5" s="32" t="str">
        <x:v>满耐久吸收</x:v>
      </x:c>
      <x:c r="I5" s="32" t="str">
        <x:v>同级弹承伤率</x:v>
      </x:c>
      <x:c r="J5" s="32" t="str">
        <x:v>理论有效生命</x:v>
      </x:c>
      <x:c r="K5" s="32" t="str">
        <x:v>步行倍率</x:v>
      </x:c>
      <x:c r="L5" s="32" t="str">
        <x:v>奔跑倍率</x:v>
      </x:c>
      <x:c r="M5" s="32" t="str">
        <x:v>步行惩罚</x:v>
      </x:c>
      <x:c r="N5" s="32" t="str">
        <x:v>奔跑惩罚</x:v>
      </x:c>
      <x:c r="O5" s="32" t="str">
        <x:v>最大维修次数</x:v>
      </x:c>
      <x:c r="P5" s="32" t="str">
        <x:v>单次恢复</x:v>
      </x:c>
      <x:c r="Q5" s="32" t="str">
        <x:v>总可恢复耐久</x:v>
      </x:c>
      <x:c r="R5" s="32" t="str">
        <x:v>最低维修包</x:v>
      </x:c>
      <x:c r="S5" s="32" t="str">
        <x:v>占格</x:v>
      </x:c>
      <x:c r="T5" s="32" t="str">
        <x:v>重量(kg)</x:v>
      </x:c>
      <x:c r="U5" s="32" t="str">
        <x:v>买入价</x:v>
      </x:c>
      <x:c r="V5" s="16" t="str">
        <x:v>回收价</x:v>
      </x:c>
    </x:row>
    <x:row r="6" ht="46" customHeight="1">
      <x:c r="A6" s="74" t="n">
        <x:v>5001</x:v>
      </x:c>
      <x:c r="B6" s="74" t="str">
        <x:v>ARM-L1-L</x:v>
      </x:c>
      <x:c r="C6" s="74" t="str">
        <x:v>低级护甲（轻型）</x:v>
      </x:c>
      <x:c r="D6" s="74" t="str">
        <x:v>普通</x:v>
      </x:c>
      <x:c r="E6" s="74" t="str">
        <x:v>低级</x:v>
      </x:c>
      <x:c r="F6" s="78" t="n">
        <x:v>1</x:v>
      </x:c>
      <x:c r="G6" s="78" t="n">
        <x:v>60</x:v>
      </x:c>
      <x:c r="H6" s="114" t="n">
        <x:v>0.45</x:v>
      </x:c>
      <x:c r="I6" s="115" t="n">
        <x:f>0.75*(1-H6)</x:f>
        <x:v>0.41250000000000003</x:v>
      </x:c>
      <x:c r="J6" s="116" t="n">
        <x:f>'总览'!$B$5/I6</x:f>
        <x:v>242.4242424242424</x:v>
      </x:c>
      <x:c r="K6" s="114" t="n">
        <x:v>0.97</x:v>
      </x:c>
      <x:c r="L6" s="114" t="n">
        <x:v>0.97</x:v>
      </x:c>
      <x:c r="M6" s="115" t="n">
        <x:f>1-K6</x:f>
        <x:v>0.030000000000000027</x:v>
      </x:c>
      <x:c r="N6" s="115" t="n">
        <x:f>1-L6</x:f>
        <x:v>0.030000000000000027</x:v>
      </x:c>
      <x:c r="O6" s="78" t="n">
        <x:v>2</x:v>
      </x:c>
      <x:c r="P6" s="114" t="n">
        <x:v>0.5</x:v>
      </x:c>
      <x:c r="Q6" s="80" t="n">
        <x:f>G6*O6*P6</x:f>
        <x:v>60</x:v>
      </x:c>
      <x:c r="R6" s="74" t="str">
        <x:v>低级</x:v>
      </x:c>
      <x:c r="S6" s="78" t="n">
        <x:v>4</x:v>
      </x:c>
      <x:c r="T6" s="102" t="n">
        <x:v>3</x:v>
      </x:c>
      <x:c r="U6" s="106" t="n">
        <x:v>6500</x:v>
      </x:c>
      <x:c r="V6" s="107" t="n">
        <x:f>ROUND(U6*'总览'!$B$11,0)</x:f>
        <x:v>2275</x:v>
      </x:c>
    </x:row>
    <x:row r="7" ht="46" customHeight="1">
      <x:c r="A7" s="75" t="n">
        <x:v>5002</x:v>
      </x:c>
      <x:c r="B7" s="75" t="str">
        <x:v>ARM-L1-H</x:v>
      </x:c>
      <x:c r="C7" s="75" t="str">
        <x:v>低级护甲（重型）</x:v>
      </x:c>
      <x:c r="D7" s="75" t="str">
        <x:v>优良</x:v>
      </x:c>
      <x:c r="E7" s="75" t="str">
        <x:v>低级</x:v>
      </x:c>
      <x:c r="F7" s="79" t="n">
        <x:v>1</x:v>
      </x:c>
      <x:c r="G7" s="79" t="n">
        <x:v>100</x:v>
      </x:c>
      <x:c r="H7" s="100" t="n">
        <x:v>0.5</x:v>
      </x:c>
      <x:c r="I7" s="101" t="n">
        <x:f>0.75*(1-H7)</x:f>
        <x:v>0.375</x:v>
      </x:c>
      <x:c r="J7" s="117" t="n">
        <x:f>'总览'!$B$5/I7</x:f>
        <x:v>266.6666666666667</x:v>
      </x:c>
      <x:c r="K7" s="100" t="n">
        <x:v>0.92</x:v>
      </x:c>
      <x:c r="L7" s="100" t="n">
        <x:v>0.9</x:v>
      </x:c>
      <x:c r="M7" s="101" t="n">
        <x:f>1-K7</x:f>
        <x:v>0.07999999999999996</x:v>
      </x:c>
      <x:c r="N7" s="101" t="n">
        <x:f>1-L7</x:f>
        <x:v>0.09999999999999998</x:v>
      </x:c>
      <x:c r="O7" s="79" t="n">
        <x:v>4</x:v>
      </x:c>
      <x:c r="P7" s="100" t="n">
        <x:v>0.5</x:v>
      </x:c>
      <x:c r="Q7" s="81" t="n">
        <x:f>G7*O7*P7</x:f>
        <x:v>200</x:v>
      </x:c>
      <x:c r="R7" s="75" t="str">
        <x:v>低级</x:v>
      </x:c>
      <x:c r="S7" s="79" t="n">
        <x:v>6</x:v>
      </x:c>
      <x:c r="T7" s="103" t="n">
        <x:v>5.5</x:v>
      </x:c>
      <x:c r="U7" s="108" t="n">
        <x:v>9000</x:v>
      </x:c>
      <x:c r="V7" s="109" t="n">
        <x:f>ROUND(U7*'总览'!$B$11,0)</x:f>
        <x:v>3150</x:v>
      </x:c>
    </x:row>
    <x:row r="8" ht="46" customHeight="1">
      <x:c r="A8" s="75" t="n">
        <x:v>5003</x:v>
      </x:c>
      <x:c r="B8" s="75" t="str">
        <x:v>ARM-L2-L</x:v>
      </x:c>
      <x:c r="C8" s="75" t="str">
        <x:v>中级护甲（轻型）</x:v>
      </x:c>
      <x:c r="D8" s="75" t="str">
        <x:v>优良</x:v>
      </x:c>
      <x:c r="E8" s="75" t="str">
        <x:v>中级</x:v>
      </x:c>
      <x:c r="F8" s="79" t="n">
        <x:v>2</x:v>
      </x:c>
      <x:c r="G8" s="79" t="n">
        <x:v>80</x:v>
      </x:c>
      <x:c r="H8" s="100" t="n">
        <x:v>0.6</x:v>
      </x:c>
      <x:c r="I8" s="101" t="n">
        <x:f>0.75*(1-H8)</x:f>
        <x:v>0.30000000000000004</x:v>
      </x:c>
      <x:c r="J8" s="117" t="n">
        <x:f>'总览'!$B$5/I8</x:f>
        <x:v>333.33333333333326</x:v>
      </x:c>
      <x:c r="K8" s="100" t="n">
        <x:v>0.94</x:v>
      </x:c>
      <x:c r="L8" s="100" t="n">
        <x:v>0.92</x:v>
      </x:c>
      <x:c r="M8" s="101" t="n">
        <x:f>1-K8</x:f>
        <x:v>0.06000000000000005</x:v>
      </x:c>
      <x:c r="N8" s="101" t="n">
        <x:f>1-L8</x:f>
        <x:v>0.07999999999999996</x:v>
      </x:c>
      <x:c r="O8" s="79" t="n">
        <x:v>3</x:v>
      </x:c>
      <x:c r="P8" s="100" t="n">
        <x:v>0.5</x:v>
      </x:c>
      <x:c r="Q8" s="81" t="n">
        <x:f>G8*O8*P8</x:f>
        <x:v>120</x:v>
      </x:c>
      <x:c r="R8" s="75" t="str">
        <x:v>中级</x:v>
      </x:c>
      <x:c r="S8" s="79" t="n">
        <x:v>5</x:v>
      </x:c>
      <x:c r="T8" s="103" t="n">
        <x:v>4</x:v>
      </x:c>
      <x:c r="U8" s="108" t="n">
        <x:v>15000</x:v>
      </x:c>
      <x:c r="V8" s="109" t="n">
        <x:f>ROUND(U8*'总览'!$B$11,0)</x:f>
        <x:v>5250</x:v>
      </x:c>
    </x:row>
    <x:row r="9" ht="46" customHeight="1">
      <x:c r="A9" s="75" t="n">
        <x:v>5004</x:v>
      </x:c>
      <x:c r="B9" s="75" t="str">
        <x:v>ARM-L2-H</x:v>
      </x:c>
      <x:c r="C9" s="75" t="str">
        <x:v>中级护甲（重型）</x:v>
      </x:c>
      <x:c r="D9" s="75" t="str">
        <x:v>稀有</x:v>
      </x:c>
      <x:c r="E9" s="75" t="str">
        <x:v>中级</x:v>
      </x:c>
      <x:c r="F9" s="79" t="n">
        <x:v>2</x:v>
      </x:c>
      <x:c r="G9" s="79" t="n">
        <x:v>130</x:v>
      </x:c>
      <x:c r="H9" s="100" t="n">
        <x:v>0.65</x:v>
      </x:c>
      <x:c r="I9" s="101" t="n">
        <x:f>0.75*(1-H9)</x:f>
        <x:v>0.26249999999999996</x:v>
      </x:c>
      <x:c r="J9" s="117" t="n">
        <x:f>'总览'!$B$5/I9</x:f>
        <x:v>380.952380952381</x:v>
      </x:c>
      <x:c r="K9" s="100" t="n">
        <x:v>0.87</x:v>
      </x:c>
      <x:c r="L9" s="100" t="n">
        <x:v>0.83</x:v>
      </x:c>
      <x:c r="M9" s="101" t="n">
        <x:f>1-K9</x:f>
        <x:v>0.13</x:v>
      </x:c>
      <x:c r="N9" s="101" t="n">
        <x:f>1-L9</x:f>
        <x:v>0.17000000000000004</x:v>
      </x:c>
      <x:c r="O9" s="79" t="n">
        <x:v>6</x:v>
      </x:c>
      <x:c r="P9" s="100" t="n">
        <x:v>0.5</x:v>
      </x:c>
      <x:c r="Q9" s="81" t="n">
        <x:f>G9*O9*P9</x:f>
        <x:v>390</x:v>
      </x:c>
      <x:c r="R9" s="75" t="str">
        <x:v>中级</x:v>
      </x:c>
      <x:c r="S9" s="79" t="n">
        <x:v>8</x:v>
      </x:c>
      <x:c r="T9" s="103" t="n">
        <x:v>7.5</x:v>
      </x:c>
      <x:c r="U9" s="108" t="n">
        <x:v>22000</x:v>
      </x:c>
      <x:c r="V9" s="109" t="n">
        <x:f>ROUND(U9*'总览'!$B$11,0)</x:f>
        <x:v>7700</x:v>
      </x:c>
    </x:row>
    <x:row r="10" ht="46" customHeight="1">
      <x:c r="A10" s="75" t="n">
        <x:v>5005</x:v>
      </x:c>
      <x:c r="B10" s="75" t="str">
        <x:v>ARM-L3-L</x:v>
      </x:c>
      <x:c r="C10" s="75" t="str">
        <x:v>高级护甲（轻型）</x:v>
      </x:c>
      <x:c r="D10" s="75" t="str">
        <x:v>稀有</x:v>
      </x:c>
      <x:c r="E10" s="75" t="str">
        <x:v>高级</x:v>
      </x:c>
      <x:c r="F10" s="79" t="n">
        <x:v>3</x:v>
      </x:c>
      <x:c r="G10" s="79" t="n">
        <x:v>110</x:v>
      </x:c>
      <x:c r="H10" s="100" t="n">
        <x:v>0.72</x:v>
      </x:c>
      <x:c r="I10" s="101" t="n">
        <x:f>0.75*(1-H10)</x:f>
        <x:v>0.21000000000000002</x:v>
      </x:c>
      <x:c r="J10" s="117" t="n">
        <x:f>'总览'!$B$5/I10</x:f>
        <x:v>476.19047619047615</x:v>
      </x:c>
      <x:c r="K10" s="100" t="n">
        <x:v>0.88</x:v>
      </x:c>
      <x:c r="L10" s="100" t="n">
        <x:v>0.85</x:v>
      </x:c>
      <x:c r="M10" s="101" t="n">
        <x:f>1-K10</x:f>
        <x:v>0.12</x:v>
      </x:c>
      <x:c r="N10" s="101" t="n">
        <x:f>1-L10</x:f>
        <x:v>0.15000000000000002</x:v>
      </x:c>
      <x:c r="O10" s="79" t="n">
        <x:v>4</x:v>
      </x:c>
      <x:c r="P10" s="100" t="n">
        <x:v>0.5</x:v>
      </x:c>
      <x:c r="Q10" s="81" t="n">
        <x:f>G10*O10*P10</x:f>
        <x:v>220</x:v>
      </x:c>
      <x:c r="R10" s="75" t="str">
        <x:v>高级</x:v>
      </x:c>
      <x:c r="S10" s="79" t="n">
        <x:v>7</x:v>
      </x:c>
      <x:c r="T10" s="103" t="n">
        <x:v>6</x:v>
      </x:c>
      <x:c r="U10" s="108" t="n">
        <x:v>35000</x:v>
      </x:c>
      <x:c r="V10" s="109" t="n">
        <x:f>ROUND(U10*'总览'!$B$11,0)</x:f>
        <x:v>12250</x:v>
      </x:c>
    </x:row>
    <x:row r="11" ht="46" customHeight="1">
      <x:c r="A11" s="75" t="n">
        <x:v>5006</x:v>
      </x:c>
      <x:c r="B11" s="75" t="str">
        <x:v>ARM-L3-H</x:v>
      </x:c>
      <x:c r="C11" s="75" t="str">
        <x:v>高级护甲（重型）</x:v>
      </x:c>
      <x:c r="D11" s="75" t="str">
        <x:v>史诗</x:v>
      </x:c>
      <x:c r="E11" s="75" t="str">
        <x:v>高级</x:v>
      </x:c>
      <x:c r="F11" s="79" t="n">
        <x:v>3</x:v>
      </x:c>
      <x:c r="G11" s="79" t="n">
        <x:v>180</x:v>
      </x:c>
      <x:c r="H11" s="100" t="n">
        <x:v>0.78</x:v>
      </x:c>
      <x:c r="I11" s="101" t="n">
        <x:f>0.75*(1-H11)</x:f>
        <x:v>0.16499999999999998</x:v>
      </x:c>
      <x:c r="J11" s="117" t="n">
        <x:f>'总览'!$B$5/I11</x:f>
        <x:v>606.0606060606061</x:v>
      </x:c>
      <x:c r="K11" s="100" t="n">
        <x:v>0.78</x:v>
      </x:c>
      <x:c r="L11" s="100" t="n">
        <x:v>0.72</x:v>
      </x:c>
      <x:c r="M11" s="101" t="n">
        <x:f>1-K11</x:f>
        <x:v>0.21999999999999997</x:v>
      </x:c>
      <x:c r="N11" s="101" t="n">
        <x:f>1-L11</x:f>
        <x:v>0.28</x:v>
      </x:c>
      <x:c r="O11" s="79" t="n">
        <x:v>8</x:v>
      </x:c>
      <x:c r="P11" s="100" t="n">
        <x:v>0.5</x:v>
      </x:c>
      <x:c r="Q11" s="81" t="n">
        <x:f>G11*O11*P11</x:f>
        <x:v>720</x:v>
      </x:c>
      <x:c r="R11" s="75" t="str">
        <x:v>高级</x:v>
      </x:c>
      <x:c r="S11" s="79" t="n">
        <x:v>10</x:v>
      </x:c>
      <x:c r="T11" s="103" t="n">
        <x:v>11</x:v>
      </x:c>
      <x:c r="U11" s="108" t="n">
        <x:v>52000</x:v>
      </x:c>
      <x:c r="V11" s="109" t="n">
        <x:f>ROUND(U11*'总览'!$B$11,0)</x:f>
        <x:v>18200</x:v>
      </x:c>
    </x:row>
    <x:row r="12" ht="46" customHeight="1">
      <x:c r="A12" s="75" t="n">
        <x:v>5007</x:v>
      </x:c>
      <x:c r="B12" s="75" t="str">
        <x:v>ARM-L4-H</x:v>
      </x:c>
      <x:c r="C12" s="75" t="str">
        <x:v>复合重装</x:v>
      </x:c>
      <x:c r="D12" s="75" t="str">
        <x:v>传说</x:v>
      </x:c>
      <x:c r="E12" s="75" t="str">
        <x:v>特级</x:v>
      </x:c>
      <x:c r="F12" s="79" t="n">
        <x:v>4</x:v>
      </x:c>
      <x:c r="G12" s="79" t="n">
        <x:v>280</x:v>
      </x:c>
      <x:c r="H12" s="100" t="n">
        <x:v>0.88</x:v>
      </x:c>
      <x:c r="I12" s="101" t="n">
        <x:f>0.75*(1-H12)</x:f>
        <x:v>0.09</x:v>
      </x:c>
      <x:c r="J12" s="117" t="n">
        <x:f>'总览'!$B$5/I12</x:f>
        <x:v>1111.111111111111</x:v>
      </x:c>
      <x:c r="K12" s="100" t="n">
        <x:v>0.62</x:v>
      </x:c>
      <x:c r="L12" s="100" t="n">
        <x:v>0.55</x:v>
      </x:c>
      <x:c r="M12" s="101" t="n">
        <x:f>1-K12</x:f>
        <x:v>0.38</x:v>
      </x:c>
      <x:c r="N12" s="101" t="n">
        <x:f>1-L12</x:f>
        <x:v>0.44999999999999996</x:v>
      </x:c>
      <x:c r="O12" s="79" t="n">
        <x:v>-1</x:v>
      </x:c>
      <x:c r="P12" s="100" t="n">
        <x:v>0.4</x:v>
      </x:c>
      <x:c r="Q12" s="81" t="str">
        <x:f>"∞"</x:f>
        <x:v>∞</x:v>
      </x:c>
      <x:c r="R12" s="75" t="str">
        <x:v>特种</x:v>
      </x:c>
      <x:c r="S12" s="79" t="n">
        <x:v>14</x:v>
      </x:c>
      <x:c r="T12" s="103" t="n">
        <x:v>20</x:v>
      </x:c>
      <x:c r="U12" s="108" t="n">
        <x:v>90000</x:v>
      </x:c>
      <x:c r="V12" s="109" t="n">
        <x:f>ROUND(U12*'总览'!$B$11,0)</x:f>
        <x:v>31500</x:v>
      </x:c>
    </x:row>
    <x:row r="13" ht="46" customHeight="1">
      <x:c r="A13" s="75" t="n">
        <x:v>5008</x:v>
      </x:c>
      <x:c r="B13" s="75" t="str">
        <x:v>ARM-L4-L</x:v>
      </x:c>
      <x:c r="C13" s="75" t="str">
        <x:v>定制轻装</x:v>
      </x:c>
      <x:c r="D13" s="75" t="str">
        <x:v>传说</x:v>
      </x:c>
      <x:c r="E13" s="75" t="str">
        <x:v>特级</x:v>
      </x:c>
      <x:c r="F13" s="79" t="n">
        <x:v>4</x:v>
      </x:c>
      <x:c r="G13" s="79" t="n">
        <x:v>150</x:v>
      </x:c>
      <x:c r="H13" s="100" t="n">
        <x:v>0.82</x:v>
      </x:c>
      <x:c r="I13" s="101" t="n">
        <x:f>0.75*(1-H13)</x:f>
        <x:v>0.13500000000000004</x:v>
      </x:c>
      <x:c r="J13" s="117" t="n">
        <x:f>'总览'!$B$5/I13</x:f>
        <x:v>740.7407407407405</x:v>
      </x:c>
      <x:c r="K13" s="100" t="n">
        <x:v>0.98</x:v>
      </x:c>
      <x:c r="L13" s="100" t="n">
        <x:v>0.97</x:v>
      </x:c>
      <x:c r="M13" s="101" t="n">
        <x:f>1-K13</x:f>
        <x:v>0.020000000000000018</x:v>
      </x:c>
      <x:c r="N13" s="101" t="n">
        <x:f>1-L13</x:f>
        <x:v>0.030000000000000027</x:v>
      </x:c>
      <x:c r="O13" s="79" t="n">
        <x:v>-1</x:v>
      </x:c>
      <x:c r="P13" s="100" t="n">
        <x:v>0.4</x:v>
      </x:c>
      <x:c r="Q13" s="81" t="str">
        <x:f>"∞"</x:f>
        <x:v>∞</x:v>
      </x:c>
      <x:c r="R13" s="75" t="str">
        <x:v>特种</x:v>
      </x:c>
      <x:c r="S13" s="79" t="n">
        <x:v>8</x:v>
      </x:c>
      <x:c r="T13" s="103" t="n">
        <x:v>7</x:v>
      </x:c>
      <x:c r="U13" s="108" t="n">
        <x:v>110000</x:v>
      </x:c>
      <x:c r="V13" s="109" t="n">
        <x:f>ROUND(U13*'总览'!$B$11,0)</x:f>
        <x:v>38500</x:v>
      </x:c>
    </x:row>
  </x:sheetData>
  <x:mergeCells>
    <x:mergeCell ref="A1:V1"/>
    <x:mergeCell ref="A2:V2"/>
  </x:mergeCells>
  <x:conditionalFormatting sqref="D6:D13">
    <x:cfRule type="containsText" dxfId="23" priority="1" operator="containsText" text="普通"/>
    <x:cfRule type="containsText" dxfId="24" priority="2" operator="containsText" text="优良"/>
    <x:cfRule type="containsText" dxfId="25" priority="3" operator="containsText" text="稀有"/>
    <x:cfRule type="containsText" dxfId="26" priority="4" operator="containsText" text="史诗"/>
    <x:cfRule type="containsText" dxfId="27" priority="5" operator="containsText" text="传说"/>
  </x:conditionalFormatting>
  <x:pageMargins left="0.7" right="0.7" top="0.75" bottom="0.75" header="0.3" footer="0.3"/>
  <x:tableParts count="1">
    <x:tablePart xmlns:r="http://schemas.openxmlformats.org/officeDocument/2006/relationships" r:id="Rfdac064632704d4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4" hidden="0" customWidth="1"/>
    <x:col min="7" max="7" width="2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34" customHeight="1">
      <x:c r="A1" s="3" t="str">
        <x:v>穿透矩阵｜当前代码规则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8" customHeight="1">
      <x:c r="A2" s="7" t="str">
        <x:v>先应用穿透对护甲等级倍率，再乘以 (1 - 当前吸收率)；耐久伤害按右侧矩阵计算。等级顺序：低级=1、中级=2、高级=3、特级=4。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4" customHeight="1">
      <x:c r="A4" s="15" t="str">
        <x:v>人体伤害倍率（吸收率之前）</x:v>
      </x:c>
      <x:c r="B4" s="32"/>
      <x:c r="C4" s="32"/>
      <x:c r="D4" s="32"/>
      <x:c r="E4" s="16"/>
      <x:c r="G4" s="15" t="str">
        <x:v>护甲耐久伤害倍率</x:v>
      </x:c>
      <x:c r="H4" s="32"/>
      <x:c r="I4" s="32"/>
      <x:c r="J4" s="32"/>
      <x:c r="K4" s="16"/>
    </x:row>
    <x:row r="5" ht="34" customHeight="1">
      <x:c r="A5" s="120" t="str">
        <x:v>弹药穿透\护甲</x:v>
      </x:c>
      <x:c r="B5" s="120" t="str">
        <x:v>低级</x:v>
      </x:c>
      <x:c r="C5" s="120" t="str">
        <x:v>中级</x:v>
      </x:c>
      <x:c r="D5" s="120" t="str">
        <x:v>高级</x:v>
      </x:c>
      <x:c r="E5" s="120" t="str">
        <x:v>特级</x:v>
      </x:c>
      <x:c r="G5" s="120" t="str">
        <x:v>弹药穿透\护甲</x:v>
      </x:c>
      <x:c r="H5" s="120" t="str">
        <x:v>低级</x:v>
      </x:c>
      <x:c r="I5" s="120" t="str">
        <x:v>中级</x:v>
      </x:c>
      <x:c r="J5" s="120" t="str">
        <x:v>高级</x:v>
      </x:c>
      <x:c r="K5" s="120" t="str">
        <x:v>特级</x:v>
      </x:c>
    </x:row>
    <x:row r="6">
      <x:c r="A6" s="121" t="str">
        <x:v>低级</x:v>
      </x:c>
      <x:c r="B6" s="122" t="n">
        <x:v>0.75</x:v>
      </x:c>
      <x:c r="C6" s="122" t="n">
        <x:v>0.35</x:v>
      </x:c>
      <x:c r="D6" s="122" t="n">
        <x:v>0.1</x:v>
      </x:c>
      <x:c r="E6" s="122" t="n">
        <x:v>0.1</x:v>
      </x:c>
      <x:c r="G6" s="121" t="str">
        <x:v>低级</x:v>
      </x:c>
      <x:c r="H6" s="122" t="n">
        <x:v>0.6</x:v>
      </x:c>
      <x:c r="I6" s="122" t="n">
        <x:v>0.85</x:v>
      </x:c>
      <x:c r="J6" s="122" t="n">
        <x:v>1</x:v>
      </x:c>
      <x:c r="K6" s="122" t="n">
        <x:v>1</x:v>
      </x:c>
    </x:row>
    <x:row r="7">
      <x:c r="A7" s="121" t="str">
        <x:v>中级</x:v>
      </x:c>
      <x:c r="B7" s="122" t="n">
        <x:v>0.9</x:v>
      </x:c>
      <x:c r="C7" s="122" t="n">
        <x:v>0.75</x:v>
      </x:c>
      <x:c r="D7" s="122" t="n">
        <x:v>0.35</x:v>
      </x:c>
      <x:c r="E7" s="122" t="n">
        <x:v>0.1</x:v>
      </x:c>
      <x:c r="G7" s="121" t="str">
        <x:v>中级</x:v>
      </x:c>
      <x:c r="H7" s="122" t="n">
        <x:v>0.3</x:v>
      </x:c>
      <x:c r="I7" s="122" t="n">
        <x:v>0.6</x:v>
      </x:c>
      <x:c r="J7" s="122" t="n">
        <x:v>0.85</x:v>
      </x:c>
      <x:c r="K7" s="122" t="n">
        <x:v>1</x:v>
      </x:c>
    </x:row>
    <x:row r="8">
      <x:c r="A8" s="121" t="str">
        <x:v>高级</x:v>
      </x:c>
      <x:c r="B8" s="122" t="n">
        <x:v>1</x:v>
      </x:c>
      <x:c r="C8" s="122" t="n">
        <x:v>0.9</x:v>
      </x:c>
      <x:c r="D8" s="122" t="n">
        <x:v>0.75</x:v>
      </x:c>
      <x:c r="E8" s="122" t="n">
        <x:v>0.35</x:v>
      </x:c>
      <x:c r="G8" s="121" t="str">
        <x:v>高级</x:v>
      </x:c>
      <x:c r="H8" s="122" t="n">
        <x:v>0.15</x:v>
      </x:c>
      <x:c r="I8" s="122" t="n">
        <x:v>0.3</x:v>
      </x:c>
      <x:c r="J8" s="122" t="n">
        <x:v>0.6</x:v>
      </x:c>
      <x:c r="K8" s="122" t="n">
        <x:v>0.85</x:v>
      </x:c>
    </x:row>
    <x:row r="9">
      <x:c r="A9" s="121" t="str">
        <x:v>特级</x:v>
      </x:c>
      <x:c r="B9" s="122" t="n">
        <x:v>1</x:v>
      </x:c>
      <x:c r="C9" s="122" t="n">
        <x:v>1</x:v>
      </x:c>
      <x:c r="D9" s="122" t="n">
        <x:v>0.9</x:v>
      </x:c>
      <x:c r="E9" s="122" t="n">
        <x:v>0.75</x:v>
      </x:c>
      <x:c r="G9" s="121" t="str">
        <x:v>特级</x:v>
      </x:c>
      <x:c r="H9" s="122" t="n">
        <x:v>0.15</x:v>
      </x:c>
      <x:c r="I9" s="122" t="n">
        <x:v>0.15</x:v>
      </x:c>
      <x:c r="J9" s="122" t="n">
        <x:v>0.3</x:v>
      </x:c>
      <x:c r="K9" s="122" t="n">
        <x:v>0.6</x:v>
      </x:c>
    </x:row>
    <x:row r="12" ht="34" customHeight="1">
      <x:c r="A12" s="15" t="str">
        <x:v>解读示例</x:v>
      </x:c>
      <x:c r="B12" s="32"/>
      <x:c r="C12" s="32"/>
      <x:c r="D12" s="32"/>
      <x:c r="E12" s="32"/>
      <x:c r="F12" s="32"/>
      <x:c r="G12" s="32"/>
      <x:c r="H12" s="32"/>
      <x:c r="I12" s="32"/>
      <x:c r="J12" s="32"/>
      <x:c r="K12" s="16"/>
    </x:row>
    <x:row r="13" ht="42" customHeight="1">
      <x:c r="A13" s="64" t="str">
        <x:v>中级弹命中中级甲：人体先乘 75%，再乘 (1 - 当前吸收率)；护甲耐久损失为原始伤害的 60%。</x:v>
      </x:c>
      <x:c r="B13" s="64"/>
      <x:c r="C13" s="64"/>
      <x:c r="D13" s="64"/>
      <x:c r="E13" s="64"/>
      <x:c r="F13" s="64"/>
      <x:c r="G13" s="64"/>
      <x:c r="H13" s="64"/>
      <x:c r="I13" s="64"/>
      <x:c r="J13" s="64"/>
      <x:c r="K13" s="64"/>
    </x:row>
    <x:row r="14" ht="42" customHeight="1">
      <x:c r="A14" s="65" t="str">
        <x:v>低级弹命中特级甲：人体只保留 10%，再被吸收率削减；护甲耐久承受原始伤害的 100%。</x:v>
      </x:c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</x:row>
    <x:row r="15" ht="42" customHeight="1">
      <x:c r="A15" s="65" t="str">
        <x:v>特级弹命中低级甲：人体保留 100%，但护甲耐久只承受原始伤害的 15%，表现为直接穿透。</x:v>
      </x:c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</x:row>
    <x:row r="16" ht="42" customHeight="1">
      <x:c r="A16" s="66" t="str">
        <x:v>由于两层减伤相乘，满耐久高阶护甲的理论承伤率很低；建议重点压测平均 TTK、爆头规则和部位覆盖。</x:v>
      </x:c>
      <x:c r="B16" s="66"/>
      <x:c r="C16" s="66"/>
      <x:c r="D16" s="66"/>
      <x:c r="E16" s="66"/>
      <x:c r="F16" s="66"/>
      <x:c r="G16" s="66"/>
      <x:c r="H16" s="66"/>
      <x:c r="I16" s="66"/>
      <x:c r="J16" s="66"/>
      <x:c r="K16" s="66"/>
    </x:row>
  </x:sheetData>
  <x:mergeCells>
    <x:mergeCell ref="A1:K1"/>
    <x:mergeCell ref="A2:K2"/>
    <x:mergeCell ref="A4:E4"/>
    <x:mergeCell ref="G4:K4"/>
    <x:mergeCell ref="A12:K12"/>
    <x:mergeCell ref="A13:K13"/>
    <x:mergeCell ref="A14:K14"/>
    <x:mergeCell ref="A15:K15"/>
    <x:mergeCell ref="A16:K16"/>
  </x:mergeCells>
  <x:conditionalFormatting sqref="B6:E9">
    <x:cfRule type="colorScale" priority="1">
      <x:colorScale>
        <x:cfvo type="min"/>
        <x:cfvo type="percentile" val="50"/>
        <x:cfvo type="max"/>
        <x:color rgb="FFF7DCDD"/>
        <x:color rgb="FFFFF0D6"/>
        <x:color rgb="FFDFF0E4"/>
      </x:colorScale>
    </x:cfRule>
  </x:conditionalFormatting>
  <x:conditionalFormatting sqref="H6:K9">
    <x:cfRule type="colorScale" priority="2">
      <x:colorScale>
        <x:cfvo type="min"/>
        <x:cfvo type="percentile" val="50"/>
        <x:cfvo type="max"/>
        <x:color rgb="FFDFF0E4"/>
        <x:color rgb="FFFFF0D6"/>
        <x:color rgb="FFF7DCDD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" hidden="0" customWidth="1"/>
    <x:col min="3" max="3" width="28" hidden="0" customWidth="1"/>
    <x:col min="4" max="4" width="78" hidden="0" customWidth="1"/>
    <x:col min="5" max="5" width="30" hidden="0" customWidth="1"/>
    <x:col min="6" max="6" width="34" hidden="0" customWidth="1"/>
    <x:col min="7" max="7" width="48" hidden="0" customWidth="1"/>
  </x:cols>
  <x:sheetData>
    <x:row r="1" ht="34" customHeight="1">
      <x:c r="A1" s="3" t="str">
        <x:v>英文美术外观描述｜34 件物品</x:v>
      </x:c>
      <x:c r="B1" s="3"/>
      <x:c r="C1" s="3"/>
      <x:c r="D1" s="3"/>
      <x:c r="E1" s="3"/>
      <x:c r="F1" s="3"/>
      <x:c r="G1" s="3"/>
    </x:row>
    <x:row r="2" ht="38" customHeight="1">
      <x:c r="A2" s="7" t="str">
        <x:v>只描述物体外观与建议像素占用，不重复像素风、描边、背景、视角等通用模板约束。</x:v>
      </x:c>
      <x:c r="B2" s="7"/>
      <x:c r="C2" s="7"/>
      <x:c r="D2" s="7"/>
      <x:c r="E2" s="7"/>
      <x:c r="F2" s="7"/>
      <x:c r="G2" s="7"/>
    </x:row>
    <x:row r="3">
      <x:c r="A3" s="125"/>
      <x:c r="B3" s="125"/>
      <x:c r="C3" s="125"/>
      <x:c r="D3" s="125"/>
      <x:c r="E3" s="125"/>
      <x:c r="F3" s="125"/>
      <x:c r="G3" s="125"/>
    </x:row>
    <x:row r="4">
      <x:c r="A4" s="126" t="str">
        <x:v>World scale: 1 tile = 32×32 px | Character reference: about 26×64 px (0.8×2 tiles) | UI icon canvas: 32×32 px for every item</x:v>
      </x:c>
      <x:c r="B4" s="126"/>
      <x:c r="C4" s="126"/>
      <x:c r="D4" s="126"/>
      <x:c r="E4" s="126"/>
      <x:c r="F4" s="126"/>
      <x:c r="G4" s="126"/>
    </x:row>
    <x:row r="5" ht="34" customHeight="1">
      <x:c r="A5" s="15" t="str">
        <x:v>系统ID</x:v>
      </x:c>
      <x:c r="B5" s="32" t="str">
        <x:v>显示编号</x:v>
      </x:c>
      <x:c r="C5" s="32" t="str">
        <x:v>物品名称</x:v>
      </x:c>
      <x:c r="D5" s="32" t="str">
        <x:v>Appearance Description (EN)</x:v>
      </x:c>
      <x:c r="E5" s="32" t="str">
        <x:v>UI图标建议占用</x:v>
      </x:c>
      <x:c r="F5" s="32" t="str">
        <x:v>地面拾取物建议尺寸</x:v>
      </x:c>
      <x:c r="G5" s="16" t="str">
        <x:v>比例说明</x:v>
      </x:c>
    </x:row>
    <x:row r="6" ht="86" customHeight="1">
      <x:c r="A6" s="74" t="n">
        <x:v>1001</x:v>
      </x:c>
      <x:c r="B6" s="74" t="str">
        <x:v>MED-01</x:v>
      </x:c>
      <x:c r="C6" s="74" t="str">
        <x:v>医疗针</x:v>
      </x:c>
      <x:c r="D6" s="123" t="str">
        <x:v>A compact single-use medical auto-injector with an off-white polymer barrel, cyan medicine window, red safety cap, tiny metal needle guard, and one strip of worn medical tape</x:v>
      </x:c>
      <x:c r="E6" s="80" t="str">
        <x:v>32×32 canvas; object about 25×9 px</x:v>
      </x:c>
      <x:c r="F6" s="80" t="str">
        <x:v>about 14×5 px; 0.44×0.16 tile</x:v>
      </x:c>
      <x:c r="G6" s="98" t="str">
        <x:v>小型物品不必填满 32×32 图标，用留白维持真实体积差。</x:v>
      </x:c>
    </x:row>
    <x:row r="7" ht="86" customHeight="1">
      <x:c r="A7" s="75" t="n">
        <x:v>1002</x:v>
      </x:c>
      <x:c r="B7" s="75" t="str">
        <x:v>MED-02</x:v>
      </x:c>
      <x:c r="C7" s="75" t="str">
        <x:v>医疗急救套组</x:v>
      </x:c>
      <x:c r="D7" s="124" t="str">
        <x:v>An olive hard-shell tactical trauma case with reinforced corners, red fabric carry strap, a simple white medical cross patch, visible latch hardware, and neatly packed internal modules hinted at along one open edge</x:v>
      </x:c>
      <x:c r="E7" s="81" t="str">
        <x:v>32×32 canvas; object about 25×23 px</x:v>
      </x:c>
      <x:c r="F7" s="81" t="str">
        <x:v>about 20×16 px; 0.63×0.50 tile</x:v>
      </x:c>
      <x:c r="G7" s="99" t="str">
        <x:v>小型物品不必填满 32×32 图标，用留白维持真实体积差。</x:v>
      </x:c>
    </x:row>
    <x:row r="8" ht="86" customHeight="1">
      <x:c r="A8" s="75" t="n">
        <x:v>1003</x:v>
      </x:c>
      <x:c r="B8" s="75" t="str">
        <x:v>MED-03</x:v>
      </x:c>
      <x:c r="C8" s="75" t="str">
        <x:v>医疗包</x:v>
      </x:c>
      <x:c r="D8" s="124" t="str">
        <x:v>A tan roll-top field medic pouch, partly opened to reveal folded gauze, bandage rolls, trauma shears, and a sealed green dressing packet, with scuffed canvas and dark buckles</x:v>
      </x:c>
      <x:c r="E8" s="81" t="str">
        <x:v>32×32 canvas; object about 24×24 px</x:v>
      </x:c>
      <x:c r="F8" s="81" t="str">
        <x:v>about 18×16 px; 0.56×0.50 tile</x:v>
      </x:c>
      <x:c r="G8" s="99" t="str">
        <x:v>小型物品不必填满 32×32 图标，用留白维持真实体积差。</x:v>
      </x:c>
    </x:row>
    <x:row r="9" ht="86" customHeight="1">
      <x:c r="A9" s="75" t="n">
        <x:v>2001</x:v>
      </x:c>
      <x:c r="B9" s="75" t="str">
        <x:v>AMO-SMG-L</x:v>
      </x:c>
      <x:c r="C9" s="75" t="str">
        <x:v>冲锋枪弹药（低级）</x:v>
      </x:c>
      <x:c r="D9" s="124" t="str">
        <x:v>A compact open cardboard ammunition box holding short brass SMG cartridges with plain copper tips, a muted cyan identification band, inexpensive stamped packaging, and light dust</x:v>
      </x:c>
      <x:c r="E9" s="81" t="str">
        <x:v>32×32 canvas; object about 24×18 px</x:v>
      </x:c>
      <x:c r="F9" s="81" t="str">
        <x:v>about 16×12 px; 0.50×0.38 tile</x:v>
      </x:c>
      <x:c r="G9" s="99" t="str">
        <x:v>小型物品不必填满 32×32 图标，用留白维持真实体积差。</x:v>
      </x:c>
    </x:row>
    <x:row r="10" ht="86" customHeight="1">
      <x:c r="A10" s="75" t="n">
        <x:v>2002</x:v>
      </x:c>
      <x:c r="B10" s="75" t="str">
        <x:v>AMO-SMG-H</x:v>
      </x:c>
      <x:c r="C10" s="75" t="str">
        <x:v>冲锋枪弹药（高级）</x:v>
      </x:c>
      <x:c r="D10" s="124" t="str">
        <x:v>A sealed dark polymer ammunition case holding short SMG armor-piercing cartridges with blackened tips, bright cyan locking tabs, precision-machined brass, and clean premium hardware</x:v>
      </x:c>
      <x:c r="E10" s="81" t="str">
        <x:v>32×32 canvas; object about 24×18 px</x:v>
      </x:c>
      <x:c r="F10" s="81" t="str">
        <x:v>about 16×12 px; 0.50×0.38 tile</x:v>
      </x:c>
      <x:c r="G10" s="99" t="str">
        <x:v>小型物品不必填满 32×32 图标，用留白维持真实体积差。</x:v>
      </x:c>
    </x:row>
    <x:row r="11" ht="86" customHeight="1">
      <x:c r="A11" s="75" t="n">
        <x:v>2003</x:v>
      </x:c>
      <x:c r="B11" s="75" t="str">
        <x:v>AMO-AR-L</x:v>
      </x:c>
      <x:c r="C11" s="75" t="str">
        <x:v>突击步枪弹药（低级）</x:v>
      </x:c>
      <x:c r="D11" s="124" t="str">
        <x:v>A rugged olive ammunition box with several medium-length bottleneck rifle cartridges, brass cases, copper tips, a blue cloth band, and utilitarian stamped-metal construction</x:v>
      </x:c>
      <x:c r="E11" s="81" t="str">
        <x:v>32×32 canvas; object about 25×17 px</x:v>
      </x:c>
      <x:c r="F11" s="81" t="str">
        <x:v>about 18×11 px; 0.56×0.34 tile</x:v>
      </x:c>
      <x:c r="G11" s="99" t="str">
        <x:v>小型物品不必填满 32×32 图标，用留白维持真实体积差。</x:v>
      </x:c>
    </x:row>
    <x:row r="12" ht="86" customHeight="1">
      <x:c r="A12" s="75" t="n">
        <x:v>2004</x:v>
      </x:c>
      <x:c r="B12" s="75" t="str">
        <x:v>AMO-AR-H</x:v>
      </x:c>
      <x:c r="C12" s="75" t="str">
        <x:v>突击步枪弹药（高级）</x:v>
      </x:c>
      <x:c r="D12" s="124" t="str">
        <x:v>A reinforced navy polymer rifle-ammunition box with long armor-piercing cartridges, dark steel penetrator tips, cobalt seals, crisp machining, and a premium military finish</x:v>
      </x:c>
      <x:c r="E12" s="81" t="str">
        <x:v>32×32 canvas; object about 25×17 px</x:v>
      </x:c>
      <x:c r="F12" s="81" t="str">
        <x:v>about 18×11 px; 0.56×0.34 tile</x:v>
      </x:c>
      <x:c r="G12" s="99" t="str">
        <x:v>小型物品不必填满 32×32 图标，用留白维持真实体积差。</x:v>
      </x:c>
    </x:row>
    <x:row r="13" ht="86" customHeight="1">
      <x:c r="A13" s="75" t="n">
        <x:v>2005</x:v>
      </x:c>
      <x:c r="B13" s="75" t="str">
        <x:v>AMO-DMR-L</x:v>
      </x:c>
      <x:c r="C13" s="75" t="str">
        <x:v>射手步枪弹药（低级）</x:v>
      </x:c>
      <x:c r="D13" s="124" t="str">
        <x:v>A narrow dark-green cartridge wallet containing large precision marksman rounds with long copper projectiles, heavy brass cases, foam separators, and restrained gold accents</x:v>
      </x:c>
      <x:c r="E13" s="81" t="str">
        <x:v>32×32 canvas; object about 27×14 px</x:v>
      </x:c>
      <x:c r="F13" s="81" t="str">
        <x:v>about 20×8 px; 0.63×0.25 tile</x:v>
      </x:c>
      <x:c r="G13" s="99" t="str">
        <x:v>小型物品不必填满 32×32 图标，用留白维持真实体积差。</x:v>
      </x:c>
    </x:row>
    <x:row r="14" ht="86" customHeight="1">
      <x:c r="A14" s="75" t="n">
        <x:v>2006</x:v>
      </x:c>
      <x:c r="B14" s="75" t="str">
        <x:v>AMO-DMR-H</x:v>
      </x:c>
      <x:c r="C14" s="75" t="str">
        <x:v>射手步枪弹药（高级）</x:v>
      </x:c>
      <x:c r="D14" s="124" t="str">
        <x:v>A premium black precision-ammunition case containing oversized marksman cartridges with tungsten-dark penetrator tips, violet security seals, polished brass, and dense protective foam</x:v>
      </x:c>
      <x:c r="E14" s="81" t="str">
        <x:v>32×32 canvas; object about 27×14 px</x:v>
      </x:c>
      <x:c r="F14" s="81" t="str">
        <x:v>about 20×8 px; 0.63×0.25 tile</x:v>
      </x:c>
      <x:c r="G14" s="99" t="str">
        <x:v>小型物品不必填满 32×32 图标，用留白维持真实体积差。</x:v>
      </x:c>
    </x:row>
    <x:row r="15" ht="86" customHeight="1">
      <x:c r="A15" s="75" t="n">
        <x:v>2007</x:v>
      </x:c>
      <x:c r="B15" s="75" t="str">
        <x:v>AMO-SG-L</x:v>
      </x:c>
      <x:c r="C15" s="75" t="str">
        <x:v>连发霰弹枪弹药（低级）</x:v>
      </x:c>
      <x:c r="D15" s="124" t="str">
        <x:v>An open orange cardboard shell box containing red-and-orange shotgun shells with brass bases, simple paper dividers, powder dust, and an inexpensive field-supply look</x:v>
      </x:c>
      <x:c r="E15" s="81" t="str">
        <x:v>32×32 canvas; object about 24×18 px</x:v>
      </x:c>
      <x:c r="F15" s="81" t="str">
        <x:v>about 16×12 px; 0.50×0.38 tile</x:v>
      </x:c>
      <x:c r="G15" s="99" t="str">
        <x:v>小型物品不必填满 32×32 图标，用留白维持真实体积差。</x:v>
      </x:c>
    </x:row>
    <x:row r="16" ht="86" customHeight="1">
      <x:c r="A16" s="75" t="n">
        <x:v>2008</x:v>
      </x:c>
      <x:c r="B16" s="75" t="str">
        <x:v>AMO-SG-H</x:v>
      </x:c>
      <x:c r="C16" s="75" t="str">
        <x:v>连发霰弹枪弹药（高级）</x:v>
      </x:c>
      <x:c r="D16" s="124" t="str">
        <x:v>A compact charcoal polymer shell caddy holding black high-pressure shotgun shells with red caps, silver reinforced bases, orange locking clips, and premium sealed construction</x:v>
      </x:c>
      <x:c r="E16" s="81" t="str">
        <x:v>32×32 canvas; object about 24×18 px</x:v>
      </x:c>
      <x:c r="F16" s="81" t="str">
        <x:v>about 16×12 px; 0.50×0.38 tile</x:v>
      </x:c>
      <x:c r="G16" s="99" t="str">
        <x:v>小型物品不必填满 32×32 图标，用留白维持真实体积差。</x:v>
      </x:c>
    </x:row>
    <x:row r="17" ht="86" customHeight="1">
      <x:c r="A17" s="75" t="n">
        <x:v>2009</x:v>
      </x:c>
      <x:c r="B17" s="75" t="str">
        <x:v>AMO-LMG-L</x:v>
      </x:c>
      <x:c r="C17" s="75" t="str">
        <x:v>轻机枪弹药（低级）</x:v>
      </x:c>
      <x:c r="D17" s="124" t="str">
        <x:v>A small olive machine-gun ammunition can with a short belt of linked brass cartridges spilling from one side, yellow identification stripe, scratched paint, and heavy steel latch</x:v>
      </x:c>
      <x:c r="E17" s="81" t="str">
        <x:v>32×32 canvas; object about 28×21 px</x:v>
      </x:c>
      <x:c r="F17" s="81" t="str">
        <x:v>about 22×15 px; 0.69×0.47 tile</x:v>
      </x:c>
      <x:c r="G17" s="99" t="str">
        <x:v>小型物品不必填满 32×32 图标，用留白维持真实体积差。</x:v>
      </x:c>
    </x:row>
    <x:row r="18" ht="86" customHeight="1">
      <x:c r="A18" s="75" t="n">
        <x:v>2010</x:v>
      </x:c>
      <x:c r="B18" s="75" t="str">
        <x:v>AMO-LMG-H</x:v>
      </x:c>
      <x:c r="C18" s="75" t="str">
        <x:v>轻机枪弹药（高级）</x:v>
      </x:c>
      <x:c r="D18" s="124" t="str">
        <x:v>A reinforced black machine-gun ammunition can with a belt of dark-tipped armor-piercing rounds, gold-yellow locking hardware, crisp steel links, and premium impact-resistant corners</x:v>
      </x:c>
      <x:c r="E18" s="81" t="str">
        <x:v>32×32 canvas; object about 28×21 px</x:v>
      </x:c>
      <x:c r="F18" s="81" t="str">
        <x:v>about 22×15 px; 0.69×0.47 tile</x:v>
      </x:c>
      <x:c r="G18" s="99" t="str">
        <x:v>小型物品不必填满 32×32 图标，用留白维持真实体积差。</x:v>
      </x:c>
    </x:row>
    <x:row r="19" ht="86" customHeight="1">
      <x:c r="A19" s="75" t="n">
        <x:v>2011</x:v>
      </x:c>
      <x:c r="B19" s="75" t="str">
        <x:v>AMO-PST-L</x:v>
      </x:c>
      <x:c r="C19" s="75" t="str">
        <x:v>自动手枪弹药（低级）</x:v>
      </x:c>
      <x:c r="D19" s="124" t="str">
        <x:v>A tiny purple-gray pistol ammunition box holding compact brass cartridges with plain round-nose tips, cheap folded packaging, and a narrow violet identification stripe</x:v>
      </x:c>
      <x:c r="E19" s="81" t="str">
        <x:v>32×32 canvas; object about 22×16 px</x:v>
      </x:c>
      <x:c r="F19" s="81" t="str">
        <x:v>about 15×10 px; 0.47×0.31 tile</x:v>
      </x:c>
      <x:c r="G19" s="99" t="str">
        <x:v>小型物品不必填满 32×32 图标，用留白维持真实体积差。</x:v>
      </x:c>
    </x:row>
    <x:row r="20" ht="86" customHeight="1">
      <x:c r="A20" s="75" t="n">
        <x:v>2012</x:v>
      </x:c>
      <x:c r="B20" s="75" t="str">
        <x:v>AMO-PST-H</x:v>
      </x:c>
      <x:c r="C20" s="75" t="str">
        <x:v>自动手枪弹药（高级）</x:v>
      </x:c>
      <x:c r="D20" s="124" t="str">
        <x:v>A sealed dark-violet pistol ammunition case holding compact black-tipped cartridges, bright magenta locking tabs, polished brass cases, and precise premium construction</x:v>
      </x:c>
      <x:c r="E20" s="81" t="str">
        <x:v>32×32 canvas; object about 22×16 px</x:v>
      </x:c>
      <x:c r="F20" s="81" t="str">
        <x:v>about 15×10 px; 0.47×0.31 tile</x:v>
      </x:c>
      <x:c r="G20" s="99" t="str">
        <x:v>小型物品不必填满 32×32 图标，用留白维持真实体积差。</x:v>
      </x:c>
    </x:row>
    <x:row r="21" ht="86" customHeight="1">
      <x:c r="A21" s="75" t="n">
        <x:v>3001</x:v>
      </x:c>
      <x:c r="B21" s="75" t="str">
        <x:v>REP-01</x:v>
      </x:c>
      <x:c r="C21" s="75" t="str">
        <x:v>低级护甲维修包</x:v>
      </x:c>
      <x:c r="D21" s="124" t="str">
        <x:v>A small gray canvas armor-repair pouch containing a simple hand riveter, steel patches, adhesive tape, and one folded olive repair plate, visibly used but serviceable</x:v>
      </x:c>
      <x:c r="E21" s="81" t="str">
        <x:v>32×32 canvas; object about 24×22 px</x:v>
      </x:c>
      <x:c r="F21" s="81" t="str">
        <x:v>about 18×14 px; 0.56×0.44 tile</x:v>
      </x:c>
      <x:c r="G21" s="99" t="str">
        <x:v>小型物品不必填满 32×32 图标，用留白维持真实体积差。</x:v>
      </x:c>
    </x:row>
    <x:row r="22" ht="86" customHeight="1">
      <x:c r="A22" s="75" t="n">
        <x:v>3002</x:v>
      </x:c>
      <x:c r="B22" s="75" t="str">
        <x:v>REP-02</x:v>
      </x:c>
      <x:c r="C22" s="75" t="str">
        <x:v>中级护甲维修包</x:v>
      </x:c>
      <x:c r="D22" s="124" t="str">
        <x:v>A blue reinforced field-repair case containing a compact torque tool, ceramic patch tiles, sealant cartridges, and organized foam cutouts, with moderate wear</x:v>
      </x:c>
      <x:c r="E22" s="81" t="str">
        <x:v>32×32 canvas; object about 26×22 px</x:v>
      </x:c>
      <x:c r="F22" s="81" t="str">
        <x:v>about 20×15 px; 0.63×0.47 tile</x:v>
      </x:c>
      <x:c r="G22" s="99" t="str">
        <x:v>小型物品不必填满 32×32 图标，用留白维持真实体积差。</x:v>
      </x:c>
    </x:row>
    <x:row r="23" ht="86" customHeight="1">
      <x:c r="A23" s="75" t="n">
        <x:v>3003</x:v>
      </x:c>
      <x:c r="B23" s="75" t="str">
        <x:v>REP-03</x:v>
      </x:c>
      <x:c r="C23" s="75" t="str">
        <x:v>高级护甲维修包</x:v>
      </x:c>
      <x:c r="D23" s="124" t="str">
        <x:v>A heavy dark-red armor-maintenance case with tungsten repair plates, powered fastening tool, orange insulated cables, precision clamps, and reinforced metal corners</x:v>
      </x:c>
      <x:c r="E23" s="81" t="str">
        <x:v>32×32 canvas; object about 27×24 px</x:v>
      </x:c>
      <x:c r="F23" s="81" t="str">
        <x:v>about 22×17 px; 0.69×0.53 tile</x:v>
      </x:c>
      <x:c r="G23" s="99" t="str">
        <x:v>小型物品不必填满 32×32 图标，用留白维持真实体积差。</x:v>
      </x:c>
    </x:row>
    <x:row r="24" ht="86" customHeight="1">
      <x:c r="A24" s="75" t="n">
        <x:v>3004</x:v>
      </x:c>
      <x:c r="B24" s="75" t="str">
        <x:v>REP-04</x:v>
      </x:c>
      <x:c r="C24" s="75" t="str">
        <x:v>特种维修套件</x:v>
      </x:c>
      <x:c r="D24" s="124" t="str">
        <x:v>A matte-black carbon-fiber special repair kit with two replaceable energy-assisted bonding cartridges, cyan status lights, gold clasps, compact precision tools, and elite military craftsmanship</x:v>
      </x:c>
      <x:c r="E24" s="81" t="str">
        <x:v>32×32 canvas; object about 28×24 px</x:v>
      </x:c>
      <x:c r="F24" s="81" t="str">
        <x:v>about 23×18 px; 0.72×0.56 tile</x:v>
      </x:c>
      <x:c r="G24" s="99" t="str">
        <x:v>小型物品不必填满 32×32 图标，用留白维持真实体积差。</x:v>
      </x:c>
    </x:row>
    <x:row r="25" ht="86" customHeight="1">
      <x:c r="A25" s="75" t="n">
        <x:v>4001</x:v>
      </x:c>
      <x:c r="B25" s="75" t="str">
        <x:v>WPN-01</x:v>
      </x:c>
      <x:c r="C25" s="75" t="str">
        <x:v>MP7</x:v>
      </x:c>
      <x:c r="D25" s="124" t="str">
        <x:v>An H&amp;K MP7-style compact personal defense weapon with a slim black polymer receiver, very short barrel, full-length top rail, folding vertical foregrip, compact magazine inserted through the pistol grip, telescoping stock, cyan identification accents, and light field wear</x:v>
      </x:c>
      <x:c r="E25" s="81" t="str">
        <x:v>32×32 canvas; object about 29×14 px</x:v>
      </x:c>
      <x:c r="F25" s="81" t="str">
        <x:v>about 34×14 px; 1.06×0.44 tile</x:v>
      </x:c>
      <x:c r="G25" s="99" t="str">
        <x:v>武器地面精灵可超过 1 格宽，碰撞与拾取范围仍建议控制在中心 1 格。</x:v>
      </x:c>
    </x:row>
    <x:row r="26" ht="86" customHeight="1">
      <x:c r="A26" s="75" t="n">
        <x:v>4002</x:v>
      </x:c>
      <x:c r="B26" s="75" t="str">
        <x:v>WPN-02</x:v>
      </x:c>
      <x:c r="C26" s="75" t="str">
        <x:v>M4A1</x:v>
      </x:c>
      <x:c r="D26" s="124" t="str">
        <x:v>An M4A1 carbine with a black aluminum receiver, collapsible six-position stock, medium-length barrel, railed handguard, thirty-round STANAG magazine, flat-top optic rail, cobalt-blue identification accents, and practical field wear</x:v>
      </x:c>
      <x:c r="E26" s="81" t="str">
        <x:v>32×32 canvas; object about 31×13 px</x:v>
      </x:c>
      <x:c r="F26" s="81" t="str">
        <x:v>about 42×14 px; 1.31×0.44 tile</x:v>
      </x:c>
      <x:c r="G26" s="99" t="str">
        <x:v>武器地面精灵可超过 1 格宽，碰撞与拾取范围仍建议控制在中心 1 格。</x:v>
      </x:c>
    </x:row>
    <x:row r="27" ht="86" customHeight="1">
      <x:c r="A27" s="75" t="n">
        <x:v>4003</x:v>
      </x:c>
      <x:c r="B27" s="75" t="str">
        <x:v>WPN-03</x:v>
      </x:c>
      <x:c r="C27" s="75" t="str">
        <x:v>SVD</x:v>
      </x:c>
      <x:c r="D27" s="124" t="str">
        <x:v>An SVD designated marksman rifle with a long slender barrel, distinctive skeletonized wooden stock and handguard, curved box magazine, side-mounted PSO-style optic, dark blued receiver, and restrained olive-green sling details</x:v>
      </x:c>
      <x:c r="E27" s="81" t="str">
        <x:v>32×32 canvas; object about 31×11 px</x:v>
      </x:c>
      <x:c r="F27" s="81" t="str">
        <x:v>about 52×14 px; 1.63×0.44 tile</x:v>
      </x:c>
      <x:c r="G27" s="99" t="str">
        <x:v>武器地面精灵可超过 1 格宽，碰撞与拾取范围仍建议控制在中心 1 格。</x:v>
      </x:c>
    </x:row>
    <x:row r="28" ht="86" customHeight="1">
      <x:c r="A28" s="75" t="n">
        <x:v>4004</x:v>
      </x:c>
      <x:c r="B28" s="75" t="str">
        <x:v>WPN-04</x:v>
      </x:c>
      <x:c r="C28" s="75" t="str">
        <x:v>AA12</x:v>
      </x:c>
      <x:c r="D28" s="124" t="str">
        <x:v>An AA12 automatic shotgun with a thick black polymer body, short heavy barrel, large circular drum magazine, broad fore-end, orange heat-shield accents, chunky rectangular receiver, and an aggressive close-quarters silhouette</x:v>
      </x:c>
      <x:c r="E28" s="81" t="str">
        <x:v>32×32 canvas; object about 31×14 px</x:v>
      </x:c>
      <x:c r="F28" s="81" t="str">
        <x:v>about 40×16 px; 1.25×0.50 tile</x:v>
      </x:c>
      <x:c r="G28" s="99" t="str">
        <x:v>武器地面精灵可超过 1 格宽，碰撞与拾取范围仍建议控制在中心 1 格。</x:v>
      </x:c>
    </x:row>
    <x:row r="29" ht="86" customHeight="1">
      <x:c r="A29" s="75" t="n">
        <x:v>4005</x:v>
      </x:c>
      <x:c r="B29" s="75" t="str">
        <x:v>WPN-05</x:v>
      </x:c>
      <x:c r="C29" s="75" t="str">
        <x:v>PKM</x:v>
      </x:c>
      <x:c r="D29" s="124" t="str">
        <x:v>A PKM belt-fed machine gun with a long barrel, conical flash hider, folded bipod, stamped dark-steel receiver, wooden pistol grip and stock, linked ammunition belt feeding from a large yellow-black box, carry handle, and heavy field wear</x:v>
      </x:c>
      <x:c r="E29" s="81" t="str">
        <x:v>32×32 canvas; object about 31×17 px</x:v>
      </x:c>
      <x:c r="F29" s="81" t="str">
        <x:v>about 48×20 px; 1.50×0.63 tile</x:v>
      </x:c>
      <x:c r="G29" s="99" t="str">
        <x:v>武器地面精灵可超过 1 格宽，碰撞与拾取范围仍建议控制在中心 1 格。</x:v>
      </x:c>
    </x:row>
    <x:row r="30" ht="86" customHeight="1">
      <x:c r="A30" s="75" t="n">
        <x:v>4006</x:v>
      </x:c>
      <x:c r="B30" s="75" t="str">
        <x:v>WPN-06</x:v>
      </x:c>
      <x:c r="C30" s="75" t="str">
        <x:v>G18C</x:v>
      </x:c>
      <x:c r="D30" s="124" t="str">
        <x:v>A G18C machine pistol with a compact black polymer frame, squared vented slide, barrel ports near the muzzle, small fire-selector lever, long extended magazine, textured grip, violet identification accents, and light holster wear</x:v>
      </x:c>
      <x:c r="E30" s="81" t="str">
        <x:v>32×32 canvas; object about 24×18 px</x:v>
      </x:c>
      <x:c r="F30" s="81" t="str">
        <x:v>about 22×14 px; 0.69×0.44 tile</x:v>
      </x:c>
      <x:c r="G30" s="99" t="str">
        <x:v>武器地面精灵可超过 1 格宽，碰撞与拾取范围仍建议控制在中心 1 格。</x:v>
      </x:c>
    </x:row>
    <x:row r="31" ht="86" customHeight="1">
      <x:c r="A31" s="75" t="n">
        <x:v>4007</x:v>
      </x:c>
      <x:c r="B31" s="75" t="str">
        <x:v>WPN-07</x:v>
      </x:c>
      <x:c r="C31" s="75" t="str">
        <x:v>战术匕首</x:v>
      </x:c>
      <x:c r="D31" s="124" t="str">
        <x:v>A sturdy tactical dagger with a broad gray spear-point blade, short serrated spine section, dark wrapped handle, compact crossguard, small nicks along the edge, and a fitted black sheath beside it</x:v>
      </x:c>
      <x:c r="E31" s="81" t="str">
        <x:v>32×32 canvas; object about 28×10 px</x:v>
      </x:c>
      <x:c r="F31" s="81" t="str">
        <x:v>about 24×7 px; 0.75×0.22 tile</x:v>
      </x:c>
      <x:c r="G31" s="99" t="str">
        <x:v>武器地面精灵可超过 1 格宽，碰撞与拾取范围仍建议控制在中心 1 格。</x:v>
      </x:c>
    </x:row>
    <x:row r="32" ht="86" customHeight="1">
      <x:c r="A32" s="75" t="n">
        <x:v>5001</x:v>
      </x:c>
      <x:c r="B32" s="75" t="str">
        <x:v>ARM-L1-L</x:v>
      </x:c>
      <x:c r="C32" s="75" t="str">
        <x:v>低级护甲（轻型）</x:v>
      </x:c>
      <x:c r="D32" s="124" t="str">
        <x:v>A lightweight olive plate carrier with soft armor panels, thin shoulder straps, two small utility pouches, gray webbing, and modest worn stitching</x:v>
      </x:c>
      <x:c r="E32" s="81" t="str">
        <x:v>32×32 canvas; object about 25×28 px</x:v>
      </x:c>
      <x:c r="F32" s="81" t="str">
        <x:v>about 22×20 px; 0.69×0.63 tile</x:v>
      </x:c>
      <x:c r="G32" s="99" t="str">
        <x:v>护甲按折叠后的地面拾取形态计算，不按穿戴状态全高绘制。</x:v>
      </x:c>
    </x:row>
    <x:row r="33" ht="86" customHeight="1">
      <x:c r="A33" s="75" t="n">
        <x:v>5002</x:v>
      </x:c>
      <x:c r="B33" s="75" t="str">
        <x:v>ARM-L1-H</x:v>
      </x:c>
      <x:c r="C33" s="75" t="str">
        <x:v>低级护甲（重型）</x:v>
      </x:c>
      <x:c r="D33" s="124" t="str">
        <x:v>A bulky low-tier olive heavy vest with overlapping soft-armor panels, wide shoulder pads, thick gray webbing, steel buckles, and visibly patched fabric</x:v>
      </x:c>
      <x:c r="E33" s="81" t="str">
        <x:v>32×32 canvas; object about 28×29 px</x:v>
      </x:c>
      <x:c r="F33" s="81" t="str">
        <x:v>about 26×22 px; 0.81×0.69 tile</x:v>
      </x:c>
      <x:c r="G33" s="99" t="str">
        <x:v>护甲按折叠后的地面拾取形态计算，不按穿戴状态全高绘制。</x:v>
      </x:c>
    </x:row>
    <x:row r="34" ht="86" customHeight="1">
      <x:c r="A34" s="75" t="n">
        <x:v>5003</x:v>
      </x:c>
      <x:c r="B34" s="75" t="str">
        <x:v>ARM-L2-L</x:v>
      </x:c>
      <x:c r="C34" s="75" t="str">
        <x:v>中级护甲（轻型）</x:v>
      </x:c>
      <x:c r="D34" s="124" t="str">
        <x:v>A streamlined medium-tier blue-gray tactical vest with two ceramic plates, compact side protection, cyan seam accents, reinforced straps, and clean readable geometry</x:v>
      </x:c>
      <x:c r="E34" s="81" t="str">
        <x:v>32×32 canvas; object about 26×28 px</x:v>
      </x:c>
      <x:c r="F34" s="81" t="str">
        <x:v>about 23×20 px; 0.72×0.63 tile</x:v>
      </x:c>
      <x:c r="G34" s="99" t="str">
        <x:v>护甲按折叠后的地面拾取形态计算，不按穿戴状态全高绘制。</x:v>
      </x:c>
    </x:row>
    <x:row r="35" ht="86" customHeight="1">
      <x:c r="A35" s="75" t="n">
        <x:v>5004</x:v>
      </x:c>
      <x:c r="B35" s="75" t="str">
        <x:v>ARM-L2-H</x:v>
      </x:c>
      <x:c r="C35" s="75" t="str">
        <x:v>中级护甲（重型）</x:v>
      </x:c>
      <x:c r="D35" s="124" t="str">
        <x:v>A bulky medium-tier navy heavy vest with layered ceramic plates, thick side panels, reinforced collar, blue straps, utility pouches, and substantial protective mass</x:v>
      </x:c>
      <x:c r="E35" s="81" t="str">
        <x:v>32×32 canvas; object about 29×30 px</x:v>
      </x:c>
      <x:c r="F35" s="81" t="str">
        <x:v>about 27×23 px; 0.84×0.72 tile</x:v>
      </x:c>
      <x:c r="G35" s="99" t="str">
        <x:v>护甲按折叠后的地面拾取形态计算，不按穿戴状态全高绘制。</x:v>
      </x:c>
    </x:row>
    <x:row r="36" ht="86" customHeight="1">
      <x:c r="A36" s="75" t="n">
        <x:v>5005</x:v>
      </x:c>
      <x:c r="B36" s="75" t="str">
        <x:v>ARM-L3-L</x:v>
      </x:c>
      <x:c r="C36" s="75" t="str">
        <x:v>高级护甲（轻型）</x:v>
      </x:c>
      <x:c r="D36" s="124" t="str">
        <x:v>A sleek high-tier black tactical armor vest with angular titanium-ceramic plates, red edge accents, compact shoulder protection, precision straps, and a high-tech military finish</x:v>
      </x:c>
      <x:c r="E36" s="81" t="str">
        <x:v>32×32 canvas; object about 27×29 px</x:v>
      </x:c>
      <x:c r="F36" s="81" t="str">
        <x:v>about 24×21 px; 0.75×0.66 tile</x:v>
      </x:c>
      <x:c r="G36" s="99" t="str">
        <x:v>护甲按折叠后的地面拾取形态计算，不按穿戴状态全高绘制。</x:v>
      </x:c>
    </x:row>
    <x:row r="37" ht="86" customHeight="1">
      <x:c r="A37" s="75" t="n">
        <x:v>5006</x:v>
      </x:c>
      <x:c r="B37" s="75" t="str">
        <x:v>ARM-L3-H</x:v>
      </x:c>
      <x:c r="C37" s="75" t="str">
        <x:v>高级护甲（重型）</x:v>
      </x:c>
      <x:c r="D37" s="124" t="str">
        <x:v>A massive high-tier dark steel heavy armor vest with layered titanium plates, broad shoulder guards, reinforced collar, red-orange warning accents, and dense industrial construction</x:v>
      </x:c>
      <x:c r="E37" s="81" t="str">
        <x:v>32×32 canvas; object about 30×30 px</x:v>
      </x:c>
      <x:c r="F37" s="81" t="str">
        <x:v>about 29×25 px; 0.91×0.78 tile</x:v>
      </x:c>
      <x:c r="G37" s="99" t="str">
        <x:v>护甲按折叠后的地面拾取形态计算，不按穿戴状态全高绘制。</x:v>
      </x:c>
    </x:row>
    <x:row r="38" ht="86" customHeight="1">
      <x:c r="A38" s="75" t="n">
        <x:v>5007</x:v>
      </x:c>
      <x:c r="B38" s="75" t="str">
        <x:v>ARM-L4-H</x:v>
      </x:c>
      <x:c r="C38" s="75" t="str">
        <x:v>复合重装</x:v>
      </x:c>
      <x:c r="D38" s="124" t="str">
        <x:v>An elite compound heavy armor torso with overlapping black composite plates, exoskeletal support ribs, thick shoulder blocks, yellow hazard accents, power couplings, and extreme protective mass</x:v>
      </x:c>
      <x:c r="E38" s="81" t="str">
        <x:v>32×32 canvas; object about 31×31 px</x:v>
      </x:c>
      <x:c r="F38" s="81" t="str">
        <x:v>about 31×29 px; 0.97×0.91 tile</x:v>
      </x:c>
      <x:c r="G38" s="99" t="str">
        <x:v>护甲按折叠后的地面拾取形态计算，不按穿戴状态全高绘制。</x:v>
      </x:c>
    </x:row>
    <x:row r="39" ht="86" customHeight="1">
      <x:c r="A39" s="75" t="n">
        <x:v>5008</x:v>
      </x:c>
      <x:c r="B39" s="75" t="str">
        <x:v>ARM-L4-L</x:v>
      </x:c>
      <x:c r="C39" s="75" t="str">
        <x:v>定制轻装</x:v>
      </x:c>
      <x:c r="D39" s="124" t="str">
        <x:v>An elite custom lightweight armor vest made of white and graphite carbon-fiber plates, minimal straps, cyan micro-lights, tailored contouring, premium gold fasteners, and an exceptionally sleek silhouette</x:v>
      </x:c>
      <x:c r="E39" s="81" t="str">
        <x:v>32×32 canvas; object about 26×29 px</x:v>
      </x:c>
      <x:c r="F39" s="81" t="str">
        <x:v>about 24×21 px; 0.75×0.66 tile</x:v>
      </x:c>
      <x:c r="G39" s="99" t="str">
        <x:v>护甲按折叠后的地面拾取形态计算，不按穿戴状态全高绘制。</x:v>
      </x:c>
    </x:row>
  </x:sheetData>
  <x:mergeCells>
    <x:mergeCell ref="A1:G1"/>
    <x:mergeCell ref="A2:G2"/>
    <x:mergeCell ref="A4:G4"/>
  </x:mergeCells>
  <x:pageMargins left="0.7" right="0.7" top="0.75" bottom="0.75" header="0.3" footer="0.3"/>
  <x:tableParts count="1">
    <x:tablePart xmlns:r="http://schemas.openxmlformats.org/officeDocument/2006/relationships" r:id="R4a589957a7444d6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6" hidden="0" customWidth="1"/>
    <x:col min="3" max="3" width="48" hidden="0" customWidth="1"/>
    <x:col min="4" max="4" width="42" hidden="0" customWidth="1"/>
    <x:col min="5" max="5" width="42" hidden="0" customWidth="1"/>
    <x:col min="6" max="6" width="54" hidden="0" customWidth="1"/>
  </x:cols>
  <x:sheetData>
    <x:row r="1" ht="34" customHeight="1">
      <x:c r="A1" s="3" t="str">
        <x:v>实现核对｜策划表与当前代码差异</x:v>
      </x:c>
      <x:c r="B1" s="3"/>
      <x:c r="C1" s="3"/>
      <x:c r="D1" s="3"/>
      <x:c r="E1" s="3"/>
      <x:c r="F1" s="3"/>
    </x:row>
    <x:row r="2" ht="38" customHeight="1">
      <x:c r="A2" s="7" t="str">
        <x:v>仅记录会影响道具数值、拾取、消耗或掉落的差异；优先级 P0 表示会直接造成错误或不可用。</x:v>
      </x:c>
      <x:c r="B2" s="7"/>
      <x:c r="C2" s="7"/>
      <x:c r="D2" s="7"/>
      <x:c r="E2" s="7"/>
      <x:c r="F2" s="7"/>
    </x:row>
    <x:row r="3">
      <x:c r="A3" s="125"/>
      <x:c r="B3" s="125"/>
      <x:c r="C3" s="125"/>
      <x:c r="D3" s="125"/>
      <x:c r="E3" s="125"/>
      <x:c r="F3" s="125"/>
    </x:row>
    <x:row r="4">
      <x:c r="A4" s="125"/>
      <x:c r="B4" s="125"/>
      <x:c r="C4" s="125"/>
      <x:c r="D4" s="125"/>
      <x:c r="E4" s="125"/>
      <x:c r="F4" s="125"/>
    </x:row>
    <x:row r="5" ht="34" customHeight="1">
      <x:c r="A5" s="15" t="str">
        <x:v>优先级</x:v>
      </x:c>
      <x:c r="B5" s="32" t="str">
        <x:v>问题</x:v>
      </x:c>
      <x:c r="C5" s="32" t="str">
        <x:v>当前证据</x:v>
      </x:c>
      <x:c r="D5" s="32" t="str">
        <x:v>策划决定</x:v>
      </x:c>
      <x:c r="E5" s="32" t="str">
        <x:v>玩家影响</x:v>
      </x:c>
      <x:c r="F5" s="16" t="str">
        <x:v>建议处理</x:v>
      </x:c>
    </x:row>
    <x:row r="6" ht="92" customHeight="1">
      <x:c r="A6" s="74" t="str">
        <x:v>P0</x:v>
      </x:c>
      <x:c r="B6" s="74" t="str">
        <x:v>弹药堆叠忽略等级与 ammoData</x:v>
      </x:c>
      <x:c r="C6" s="74" t="str">
        <x:v>InventorySystem.AddAmmoItem 只比较 ammoType。</x:v>
      </x:c>
      <x:c r="D6" s="74" t="str">
        <x:v>弹药名称与等级必须保持独立。</x:v>
      </x:c>
      <x:c r="E6" s="74" t="str">
        <x:v>拾取高级弹后可能并入低级弹，丢失品质。</x:v>
      </x:c>
      <x:c r="F6" s="74" t="str">
        <x:v>堆叠条件至少加入 isHighGrade 与 ammoData；若保留 M4A1/SVD 独立弹，再加入弹药 ID。</x:v>
      </x:c>
    </x:row>
    <x:row r="7" ht="92" customHeight="1">
      <x:c r="A7" s="75" t="str">
        <x:v>P0</x:v>
      </x:c>
      <x:c r="B7" s="75" t="str">
        <x:v>M4A1 与 SVD 共用 Rifle 类型</x:v>
      </x:c>
      <x:c r="C7" s="75" t="str">
        <x:v>AssaultRifle 与 MarksmanRifle 均使用 AmmoType.Rifle；换弹按类型和等级消耗。</x:v>
      </x:c>
      <x:c r="D7" s="75" t="str">
        <x:v>表中保留两套弹药，作为独立战利品。</x:v>
      </x:c>
      <x:c r="E7" s="75" t="str">
        <x:v>SVD 可能消耗 M4A1 弹药，破坏穿透与经济。</x:v>
      </x:c>
      <x:c r="F7" s="75" t="str">
        <x:v>新增 Rifle_M4A1 / Rifle_SVD 类型，或让 ConsumeAmmo 精确匹配 ammoData ID。</x:v>
      </x:c>
    </x:row>
    <x:row r="8" ht="92" customHeight="1">
      <x:c r="A8" s="75" t="str">
        <x:v>P0</x:v>
      </x:c>
      <x:c r="B8" s="75" t="str">
        <x:v>G18C 独立弹未接入</x:v>
      </x:c>
      <x:c r="C8" s="75" t="str">
        <x:v>AutoPistol.ammoType=SMG；G18C 对应的独立 AmmoDef.weaponTypes 为空。</x:v>
      </x:c>
      <x:c r="D8" s="75" t="str">
        <x:v>首版建议 G18C 与 MP7 共用 SMG 弹。</x:v>
      </x:c>
      <x:c r="E8" s="75" t="str">
        <x:v>独立手枪弹进入掉落池会成为无效战利品。</x:v>
      </x:c>
      <x:c r="F8" s="75" t="str">
        <x:v>删除 2011/2012 的掉落；若坚持独立弹，则修改武器 ammoType、工厂与 UI 映射。</x:v>
      </x:c>
    </x:row>
    <x:row r="9" ht="92" customHeight="1">
      <x:c r="A9" s="75" t="str">
        <x:v>P0</x:v>
      </x:c>
      <x:c r="B9" s="75" t="str">
        <x:v>默认背包无法容纳部分物品</x:v>
      </x:c>
      <x:c r="C9" s="75" t="str">
        <x:v>InventorySystem.maxSlots=9；PKM=10 格，高级重甲=10 格，复合重装=14 格。</x:v>
      </x:c>
      <x:c r="D9" s="75" t="str">
        <x:v>占格体现重装备代价，但必须可拾取。</x:v>
      </x:c>
      <x:c r="E9" s="75" t="str">
        <x:v>玩家无法拾取或撤出关键高价值物。</x:v>
      </x:c>
      <x:c r="F9" s="75" t="str">
        <x:v>将武器/护甲装备槽与背包分离，或把基础背包扩至 12 格并加入背包升级。</x:v>
      </x:c>
    </x:row>
    <x:row r="10" ht="92" customHeight="1">
      <x:c r="A10" s="75" t="str">
        <x:v>P1</x:v>
      </x:c>
      <x:c r="B10" s="75" t="str">
        <x:v>特种维修套件恒定不可用</x:v>
      </x:c>
      <x:c r="C10" s="75" t="str">
        <x:v>RepairKit.CanRepair 在 tier==Special 时直接返回 false。</x:v>
      </x:c>
      <x:c r="D10" s="75" t="str">
        <x:v>特种套件仅修复复合重装/定制轻装，共 2 次，每次 40%。</x:v>
      </x:c>
      <x:c r="E10" s="75" t="str">
        <x:v>顶级护甲无法按描述维修。</x:v>
      </x:c>
      <x:c r="F10" s="75" t="str">
        <x:v>为 RepairKit 增加剩余次数与 ArmorType 白名单，移除恒 false。</x:v>
      </x:c>
    </x:row>
    <x:row r="11" ht="92" customHeight="1">
      <x:c r="A11" s="75" t="str">
        <x:v>P1</x:v>
      </x:c>
      <x:c r="B11" s="75" t="str">
        <x:v>医疗使用时间未执行</x:v>
      </x:c>
      <x:c r="C11" s="75" t="str">
        <x:v>MedicalItem.Use 直接 Heal；useTime 未参与延时或打断。</x:v>
      </x:c>
      <x:c r="D11" s="75" t="str">
        <x:v>治疗必须经过使用时间，并可被移动/受击打断。</x:v>
      </x:c>
      <x:c r="E11" s="75" t="str">
        <x:v>当前医疗针、医疗包全是瞬时恢复。</x:v>
      </x:c>
      <x:c r="F11" s="75" t="str">
        <x:v>增加统一 ConsumableUseController，完成后再应用效果与扣除次数。</x:v>
      </x:c>
    </x:row>
    <x:row r="12" ht="92" customHeight="1">
      <x:c r="A12" s="75" t="str">
        <x:v>P1</x:v>
      </x:c>
      <x:c r="B12" s="75" t="str">
        <x:v>维修包未体现一次性库存消耗</x:v>
      </x:c>
      <x:c r="C12" s="75" t="str">
        <x:v>RepairKit 为 ScriptableObject，TryRepair 只修复护甲，没有背包数量/耐久扣除。</x:v>
      </x:c>
      <x:c r="D12" s="75" t="str">
        <x:v>低/中/高级一次性；特种 2 次。</x:v>
      </x:c>
      <x:c r="E12" s="75" t="str">
        <x:v>可能无限使用同一维修资产。</x:v>
      </x:c>
      <x:c r="F12" s="75" t="str">
        <x:v>创建 RepairKitItem 实例保存 quantity/currentUses，并在修复成功后扣除。</x:v>
      </x:c>
    </x:row>
    <x:row r="13" ht="92" customHeight="1">
      <x:c r="A13" s="75" t="str">
        <x:v>P1</x:v>
      </x:c>
      <x:c r="B13" s="75" t="str">
        <x:v>护甲双层减伤可能过强</x:v>
      </x:c>
      <x:c r="C13" s="75" t="str">
        <x:v>ProcessHit 先乘穿透倍率，再乘 (1-CurrentAbsorption)。</x:v>
      </x:c>
      <x:c r="D13" s="75" t="str">
        <x:v>首版保留原型值，但把同级有效生命列为重点压测指标。</x:v>
      </x:c>
      <x:c r="E13" s="75" t="str">
        <x:v>顶级护甲对低穿透弹几乎免疫，交战可能过长。</x:v>
      </x:c>
      <x:c r="F13" s="75" t="str">
        <x:v>采集同级/跨级 TTK；必要时降低吸收率，或只让穿透倍率与吸收率二选一主导。</x:v>
      </x:c>
    </x:row>
    <x:row r="14" ht="92" customHeight="1">
      <x:c r="A14" s="75" t="str">
        <x:v>P2</x:v>
      </x:c>
      <x:c r="B14" s="75" t="str">
        <x:v>医疗急救套组次数为 9</x:v>
      </x:c>
      <x:c r="C14" s="75" t="str">
        <x:v>100 耐久、每次消耗 12；CanUse 只要求当前耐久&gt;0。</x:v>
      </x:c>
      <x:c r="D14" s="75" t="str">
        <x:v>满状态允许第 9 次使用，末次耗尽。</x:v>
      </x:c>
      <x:c r="E14" s="75" t="str">
        <x:v>UI 若显示 100/12=8 可能与实际不符。</x:v>
      </x:c>
      <x:c r="F14" s="75" t="str">
        <x:v>UI 次数使用 CEILING(currentDurability / durabilityPerUse)。</x:v>
      </x:c>
    </x:row>
    <x:row r="15" ht="92" customHeight="1">
      <x:c r="A15" s="75" t="str">
        <x:v>P2</x:v>
      </x:c>
      <x:c r="B15" s="75" t="str">
        <x:v>命名与文字不统一</x:v>
      </x:c>
      <x:c r="C15" s="75" t="str">
        <x:v>用户表含“医疗继承套组、修维、修维包”；代码又使用基础/高级/精英。</x:v>
      </x:c>
      <x:c r="D15" s="75" t="str">
        <x:v>统一显示名：医疗急救套组、低/中/高级护甲维修包、特种维修套件。</x:v>
      </x:c>
      <x:c r="E15" s="75" t="str">
        <x:v>搜索、掉落配置与本地化容易出现重复条目。</x:v>
      </x:c>
      <x:c r="F15" s="75" t="str">
        <x:v>以系统 ID 为唯一键，显示名只从本地化表读取。</x:v>
      </x:c>
    </x:row>
  </x:sheetData>
  <x:mergeCells>
    <x:mergeCell ref="A1:F1"/>
    <x:mergeCell ref="A2:F2"/>
  </x:mergeCells>
  <x:conditionalFormatting sqref="A6:A15">
    <x:cfRule type="containsText" dxfId="28" priority="1" operator="containsText" text="P0"/>
    <x:cfRule type="containsText" dxfId="29" priority="2" operator="containsText" text="P1"/>
    <x:cfRule type="containsText" dxfId="30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e393ee3d6e0e43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0" hidden="0" customWidth="1"/>
    <x:col min="3" max="3" width="38" hidden="0" customWidth="1"/>
    <x:col min="4" max="4" width="38" hidden="0" customWidth="1"/>
    <x:col min="5" max="5" width="52" hidden="0" customWidth="1"/>
    <x:col min="6" max="6" width="16" hidden="0" customWidth="1"/>
  </x:cols>
  <x:sheetData>
    <x:row r="1" ht="34" customHeight="1">
      <x:c r="A1" s="3" t="str">
        <x:v>后续品类缺口｜未纳入首版 34 件</x:v>
      </x:c>
      <x:c r="B1" s="3"/>
      <x:c r="C1" s="3"/>
      <x:c r="D1" s="3"/>
      <x:c r="E1" s="3"/>
      <x:c r="F1" s="3"/>
    </x:row>
    <x:row r="2" ht="38" customHeight="1">
      <x:c r="A2" s="7" t="str">
        <x:v>这些是搜打撤循环通常需要、但当前清单与代码尚未覆盖的品类。先作为路线图，不分配正式系统 ID，也不进入首版掉落池。</x:v>
      </x:c>
      <x:c r="B2" s="7"/>
      <x:c r="C2" s="7"/>
      <x:c r="D2" s="7"/>
      <x:c r="E2" s="7"/>
      <x:c r="F2" s="7"/>
    </x:row>
    <x:row r="3">
      <x:c r="A3" s="125"/>
      <x:c r="B3" s="125"/>
      <x:c r="C3" s="125"/>
      <x:c r="D3" s="125"/>
      <x:c r="E3" s="125"/>
      <x:c r="F3" s="125"/>
    </x:row>
    <x:row r="4">
      <x:c r="A4" s="125"/>
      <x:c r="B4" s="125"/>
      <x:c r="C4" s="125"/>
      <x:c r="D4" s="125"/>
      <x:c r="E4" s="125"/>
      <x:c r="F4" s="125"/>
    </x:row>
    <x:row r="5" ht="34" customHeight="1">
      <x:c r="A5" s="15" t="str">
        <x:v>优先级</x:v>
      </x:c>
      <x:c r="B5" s="32" t="str">
        <x:v>品类</x:v>
      </x:c>
      <x:c r="C5" s="32" t="str">
        <x:v>候选物品</x:v>
      </x:c>
      <x:c r="D5" s="32" t="str">
        <x:v>核心作用</x:v>
      </x:c>
      <x:c r="E5" s="32" t="str">
        <x:v>为什么需要</x:v>
      </x:c>
      <x:c r="F5" s="16" t="str">
        <x:v>建议阶段</x:v>
      </x:c>
    </x:row>
    <x:row r="6" ht="70" customHeight="1">
      <x:c r="A6" s="74" t="str">
        <x:v>P0</x:v>
      </x:c>
      <x:c r="B6" s="74" t="str">
        <x:v>状态治疗</x:v>
      </x:c>
      <x:c r="C6" s="74" t="str">
        <x:v>绷带、止痛药、手术包</x:v>
      </x:c>
      <x:c r="D6" s="74" t="str">
        <x:v>处理流血、骨折/减速、最大生命损伤</x:v>
      </x:c>
      <x:c r="E6" s="74" t="str">
        <x:v>让医疗不只等于加血，并产生带什么药的撤离决策。</x:v>
      </x:c>
      <x:c r="F6" s="74" t="str">
        <x:v>战斗闭环</x:v>
      </x:c>
    </x:row>
    <x:row r="7" ht="70" customHeight="1">
      <x:c r="A7" s="75" t="str">
        <x:v>P0</x:v>
      </x:c>
      <x:c r="B7" s="75" t="str">
        <x:v>投掷物</x:v>
      </x:c>
      <x:c r="C7" s="75" t="str">
        <x:v>破片手雷、烟雾弹、闪光弹</x:v>
      </x:c>
      <x:c r="D7" s="75" t="str">
        <x:v>逼位、遮蔽、突破</x:v>
      </x:c>
      <x:c r="E7" s="75" t="str">
        <x:v>解决掩体僵局并丰富室内推进。</x:v>
      </x:c>
      <x:c r="F7" s="75" t="str">
        <x:v>战斗闭环</x:v>
      </x:c>
    </x:row>
    <x:row r="8" ht="70" customHeight="1">
      <x:c r="A8" s="75" t="str">
        <x:v>P0</x:v>
      </x:c>
      <x:c r="B8" s="75" t="str">
        <x:v>携行装备</x:v>
      </x:c>
      <x:c r="C8" s="75" t="str">
        <x:v>背包、战术胸挂</x:v>
      </x:c>
      <x:c r="D8" s="75" t="str">
        <x:v>增加背包格、弹药快捷格</x:v>
      </x:c>
      <x:c r="E8" s="75" t="str">
        <x:v>当前 9 格无法容纳重武器与高阶护甲。</x:v>
      </x:c>
      <x:c r="F8" s="75" t="str">
        <x:v>库存闭环</x:v>
      </x:c>
    </x:row>
    <x:row r="9" ht="70" customHeight="1">
      <x:c r="A9" s="75" t="str">
        <x:v>P0</x:v>
      </x:c>
      <x:c r="B9" s="75" t="str">
        <x:v>头部防护</x:v>
      </x:c>
      <x:c r="C9" s="75" t="str">
        <x:v>头盔、面罩</x:v>
      </x:c>
      <x:c r="D9" s="75" t="str">
        <x:v>独立头部护甲与视野代价</x:v>
      </x:c>
      <x:c r="E9" s="75" t="str">
        <x:v>建立爆头、护甲覆盖与高价值防护决策。</x:v>
      </x:c>
      <x:c r="F9" s="75" t="str">
        <x:v>战斗闭环</x:v>
      </x:c>
    </x:row>
    <x:row r="10" ht="70" customHeight="1">
      <x:c r="A10" s="75" t="str">
        <x:v>P1</x:v>
      </x:c>
      <x:c r="B10" s="75" t="str">
        <x:v>钥匙与权限</x:v>
      </x:c>
      <x:c r="C10" s="75" t="str">
        <x:v>机械钥匙、门禁卡、一次性破解器</x:v>
      </x:c>
      <x:c r="D10" s="75" t="str">
        <x:v>开启高价值区域或特殊撤离点</x:v>
      </x:c>
      <x:c r="E10" s="75" t="str">
        <x:v>形成地图学习、风险路线和钥匙经济。</x:v>
      </x:c>
      <x:c r="F10" s="75" t="str">
        <x:v>地图闭环</x:v>
      </x:c>
    </x:row>
    <x:row r="11" ht="70" customHeight="1">
      <x:c r="A11" s="75" t="str">
        <x:v>P1</x:v>
      </x:c>
      <x:c r="B11" s="75" t="str">
        <x:v>任务物品</x:v>
      </x:c>
      <x:c r="C11" s="75" t="str">
        <x:v>情报盘、样本箱、信标组件</x:v>
      </x:c>
      <x:c r="D11" s="75" t="str">
        <x:v>任务提交、条件撤离</x:v>
      </x:c>
      <x:c r="E11" s="75" t="str">
        <x:v>让对局目标不只剩击杀与卖钱。</x:v>
      </x:c>
      <x:c r="F11" s="75" t="str">
        <x:v>任务闭环</x:v>
      </x:c>
    </x:row>
    <x:row r="12" ht="70" customHeight="1">
      <x:c r="A12" s="75" t="str">
        <x:v>P1</x:v>
      </x:c>
      <x:c r="B12" s="75" t="str">
        <x:v>贵重品</x:v>
      </x:c>
      <x:c r="C12" s="75" t="str">
        <x:v>军用芯片、首饰、加密终端、古董</x:v>
      </x:c>
      <x:c r="D12" s="75" t="str">
        <x:v>高卖价、低战斗价值</x:v>
      </x:c>
      <x:c r="E12" s="75" t="str">
        <x:v>提供搜刮惊喜和价值密度取舍。</x:v>
      </x:c>
      <x:c r="F12" s="75" t="str">
        <x:v>经济闭环</x:v>
      </x:c>
    </x:row>
    <x:row r="13" ht="70" customHeight="1">
      <x:c r="A13" s="75" t="str">
        <x:v>P1</x:v>
      </x:c>
      <x:c r="B13" s="75" t="str">
        <x:v>制作材料</x:v>
      </x:c>
      <x:c r="C13" s="75" t="str">
        <x:v>电子零件、稀有合金、药剂、燃料电池</x:v>
      </x:c>
      <x:c r="D13" s="75" t="str">
        <x:v>制作、基地升级、维修</x:v>
      </x:c>
      <x:c r="E13" s="75" t="str">
        <x:v>为低价值区域与重复物品提供长期用途。</x:v>
      </x:c>
      <x:c r="F13" s="75" t="str">
        <x:v>成长闭环</x:v>
      </x:c>
    </x:row>
    <x:row r="14" ht="70" customHeight="1">
      <x:c r="A14" s="75" t="str">
        <x:v>P1</x:v>
      </x:c>
      <x:c r="B14" s="75" t="str">
        <x:v>战术工具</x:v>
      </x:c>
      <x:c r="C14" s="75" t="str">
        <x:v>夜视仪、侦察传感器、诱饵器、排雷器</x:v>
      </x:c>
      <x:c r="D14" s="75" t="str">
        <x:v>信息优势与地图交互</x:v>
      </x:c>
      <x:c r="E14" s="75" t="str">
        <x:v>扩展非伤害型装备空间。</x:v>
      </x:c>
      <x:c r="F14" s="75" t="str">
        <x:v>战术扩展</x:v>
      </x:c>
    </x:row>
    <x:row r="15" ht="70" customHeight="1">
      <x:c r="A15" s="75" t="str">
        <x:v>P2</x:v>
      </x:c>
      <x:c r="B15" s="75" t="str">
        <x:v>强化剂</x:v>
      </x:c>
      <x:c r="C15" s="75" t="str">
        <x:v>肾上腺素、耐力剂、抗辐射剂</x:v>
      </x:c>
      <x:c r="D15" s="75" t="str">
        <x:v>短时增益并附带副作用</x:v>
      </x:c>
      <x:c r="E15" s="75" t="str">
        <x:v>为高风险突围和极限撤离提供手段。</x:v>
      </x:c>
      <x:c r="F15" s="75" t="str">
        <x:v>赛季扩展</x:v>
      </x:c>
    </x:row>
    <x:row r="16" ht="70" customHeight="1">
      <x:c r="A16" s="75" t="str">
        <x:v>P2</x:v>
      </x:c>
      <x:c r="B16" s="75" t="str">
        <x:v>武器附件</x:v>
      </x:c>
      <x:c r="C16" s="75" t="str">
        <x:v>瞄具、枪口、弹匣、握把</x:v>
      </x:c>
      <x:c r="D16" s="75" t="str">
        <x:v>改变散布、后坐力、射程和占格</x:v>
      </x:c>
      <x:c r="E16" s="75" t="str">
        <x:v>提升武器搜刮深度，但会显著增加平衡与 UI 复杂度。</x:v>
      </x:c>
      <x:c r="F16" s="75" t="str">
        <x:v>赛季扩展</x:v>
      </x:c>
    </x:row>
    <x:row r="17" ht="70" customHeight="1">
      <x:c r="A17" s="75" t="str">
        <x:v>P2</x:v>
      </x:c>
      <x:c r="B17" s="75" t="str">
        <x:v>保险/安全箱</x:v>
      </x:c>
      <x:c r="C17" s="75" t="str">
        <x:v>小型安全盒、任务保护袋</x:v>
      </x:c>
      <x:c r="D17" s="75" t="str">
        <x:v>失败后保留少量物品</x:v>
      </x:c>
      <x:c r="E17" s="75" t="str">
        <x:v>缓和挫败，同时创造槽位价值选择。</x:v>
      </x:c>
      <x:c r="F17" s="75" t="str">
        <x:v>经济扩展</x:v>
      </x:c>
    </x:row>
  </x:sheetData>
  <x:mergeCells>
    <x:mergeCell ref="A1:F1"/>
    <x:mergeCell ref="A2:F2"/>
  </x:mergeCells>
  <x:conditionalFormatting sqref="A6:A17">
    <x:cfRule type="containsText" dxfId="31" priority="1" operator="containsText" text="P0"/>
    <x:cfRule type="containsText" dxfId="32" priority="2" operator="containsText" text="P1"/>
    <x:cfRule type="containsText" dxfId="33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6832430330164fc7"/>
  </x:tableParts>
</x:worksheet>
</file>